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" state="visible" r:id="rId4"/>
    <sheet sheetId="2" name="План 19-40" state="visible" r:id="rId5"/>
    <sheet sheetId="3" name="Цена скорректирована" state="visible" r:id="rId6"/>
    <sheet sheetId="4" name="Бракераж" state="visible" r:id="rId7"/>
    <sheet sheetId="5" name="Исключения" state="visible" r:id="rId8"/>
    <sheet sheetId="6" name="Проверка целевых" state="visible" r:id="rId9"/>
    <sheet sheetId="7" name="Срок годности" state="visible" r:id="rId10"/>
  </sheets>
  <calcPr calcId="171027" fullCalcOnLoad="1"/>
</workbook>
</file>

<file path=xl/sharedStrings.xml><?xml version="1.0" encoding="utf-8"?>
<sst xmlns="http://schemas.openxmlformats.org/spreadsheetml/2006/main" count="963" uniqueCount="256">
  <si>
    <t>ИТОГИ ВЕЧЕРНЕЙ УЦЕНКИ</t>
  </si>
  <si>
    <t>Источник: 01_выгрузка_остатков_и_продаж_1С.xlsx · Срез 19:30 · Акция 20:00–23:00</t>
  </si>
  <si>
    <t>Показатель</t>
  </si>
  <si>
    <t>Значение</t>
  </si>
  <si>
    <t/>
  </si>
  <si>
    <t>Метод расчёта</t>
  </si>
  <si>
    <t>Позиций в плане уценки</t>
  </si>
  <si>
    <t>Скидка</t>
  </si>
  <si>
    <t>30% от розничной цены</t>
  </si>
  <si>
    <t>Позиций в целевых категориях</t>
  </si>
  <si>
    <t>Нижняя цена</t>
  </si>
  <si>
    <t>Себестоимость × 1,05</t>
  </si>
  <si>
    <t>Стоимость акционного остатка по старой цене, тг</t>
  </si>
  <si>
    <t>Округление</t>
  </si>
  <si>
    <t>Вниз до 5 тг; ниже порога — вверх до 5 тг</t>
  </si>
  <si>
    <t>Потенциал выручки по новой цене, тг</t>
  </si>
  <si>
    <t>Порог бракеража</t>
  </si>
  <si>
    <t>кг ≤ 0,5; шт./порц. ≤ 1 — бракераж</t>
  </si>
  <si>
    <t>Исключений и рисков</t>
  </si>
  <si>
    <t>Проверка срока годности</t>
  </si>
  <si>
    <t>Срок должен быть действителен до закрытия в 23:00</t>
  </si>
  <si>
    <t>Позиций для сверки штрихкода в плане</t>
  </si>
  <si>
    <t>Важное допущение</t>
  </si>
  <si>
    <t>Потенциал рассчитан при продаже всего остатка</t>
  </si>
  <si>
    <t>Цен MARGIN_ALERT утверждено</t>
  </si>
  <si>
    <t>Режим MARGIN_ALERT</t>
  </si>
  <si>
    <t>Цена ограничивается автоматически</t>
  </si>
  <si>
    <t>Цен готово для кассового файла</t>
  </si>
  <si>
    <t>Применение в кассе</t>
  </si>
  <si>
    <t>Передать итоговые цены на 20:00 без повторных −30%</t>
  </si>
  <si>
    <t>Проверка остатка в шт</t>
  </si>
  <si>
    <t>Только целые</t>
  </si>
  <si>
    <t>Источник данных</t>
  </si>
  <si>
    <t>01_выгрузка_остатков_и_продаж_1С.xlsx</t>
  </si>
  <si>
    <t>Наименование</t>
  </si>
  <si>
    <t>Штрихкод</t>
  </si>
  <si>
    <t>Категория</t>
  </si>
  <si>
    <t>Старая цена, тг</t>
  </si>
  <si>
    <t>Новая цена, тг</t>
  </si>
  <si>
    <t>Остаток</t>
  </si>
  <si>
    <t>Ед. изм.</t>
  </si>
  <si>
    <t>Отметка</t>
  </si>
  <si>
    <t>Салат Греческий с сыром Фета</t>
  </si>
  <si>
    <t>4870001002012</t>
  </si>
  <si>
    <t>Кулинария: Салаты незаправленные</t>
  </si>
  <si>
    <t>кг</t>
  </si>
  <si>
    <t>Готово к наклейке</t>
  </si>
  <si>
    <t>Салат Витаминный из свежей капусты</t>
  </si>
  <si>
    <t>4870001002029</t>
  </si>
  <si>
    <t>Салат Свежий с огурцами и томатами</t>
  </si>
  <si>
    <t>4870001002036</t>
  </si>
  <si>
    <t>Винегрет овощной с маслом</t>
  </si>
  <si>
    <t>4870001002043</t>
  </si>
  <si>
    <t>Салат Морковь по-корейски острая</t>
  </si>
  <si>
    <t>4.60701E+12</t>
  </si>
  <si>
    <t>BARCODE_REVIEW · сверить код в 1С до наклейки</t>
  </si>
  <si>
    <t>Плов Ташкентский с говядиной</t>
  </si>
  <si>
    <t>4870001003019</t>
  </si>
  <si>
    <t>Кулинария: Горячие блюда</t>
  </si>
  <si>
    <t>Манты с рубленым мясом (готовые горячие)</t>
  </si>
  <si>
    <t>4870001003026</t>
  </si>
  <si>
    <t>шт</t>
  </si>
  <si>
    <t>Котлета по-киевски с маслом</t>
  </si>
  <si>
    <t>4870001003033</t>
  </si>
  <si>
    <t>Тефтели мясные в томатном соусе</t>
  </si>
  <si>
    <t>4870001003040</t>
  </si>
  <si>
    <t>Курица гриль целиком</t>
  </si>
  <si>
    <t>4870001003057</t>
  </si>
  <si>
    <t>Окорочка куриные запеченные</t>
  </si>
  <si>
    <t>4870001003064</t>
  </si>
  <si>
    <t>Гуляш из говядины с подливом</t>
  </si>
  <si>
    <t>4870001003071</t>
  </si>
  <si>
    <t>Жаркое по-домашнему с мясом и картофелем</t>
  </si>
  <si>
    <t>4870001003088</t>
  </si>
  <si>
    <t>Казан-кебаб из баранины</t>
  </si>
  <si>
    <t>4870001003095</t>
  </si>
  <si>
    <t>Стейк из семги с овощами-гриль</t>
  </si>
  <si>
    <t>4870001003101</t>
  </si>
  <si>
    <t>порц</t>
  </si>
  <si>
    <t>Готово к наклейке; MARGIN_ALERT · итоговая цена 2 940 ₸; передать на кассу</t>
  </si>
  <si>
    <t>Рулет мясной 'Праздничный' из говядины</t>
  </si>
  <si>
    <t>4870001003118</t>
  </si>
  <si>
    <t>Готово к наклейке; MARGIN_ALERT · итоговая цена 2 415 ₸; передать на кассу</t>
  </si>
  <si>
    <t>Картофельное пюре со сливочным маслом</t>
  </si>
  <si>
    <t>4870001003125</t>
  </si>
  <si>
    <t>Рис отварной рассыпчатый с овощами</t>
  </si>
  <si>
    <t>4870001003132</t>
  </si>
  <si>
    <t>Гречка отварная с луком и морковью</t>
  </si>
  <si>
    <t>4870001003149</t>
  </si>
  <si>
    <t>Макароны с сыром запеченные</t>
  </si>
  <si>
    <t>Жаркое из курицы с грибами (партия #2)</t>
  </si>
  <si>
    <t>487000105002</t>
  </si>
  <si>
    <t>Бризоль мясной с сыром (партия #3)</t>
  </si>
  <si>
    <t>487000105003</t>
  </si>
  <si>
    <t>Шашлычки куриные на шпажках (партия #4)</t>
  </si>
  <si>
    <t>487000105004</t>
  </si>
  <si>
    <t>Жаркое из курицы с грибами (партия #11)</t>
  </si>
  <si>
    <t>487000105011;487000999011</t>
  </si>
  <si>
    <t>Бризоль мясной с сыром (партия #12)</t>
  </si>
  <si>
    <t>487000105012</t>
  </si>
  <si>
    <t>Шашлычки куриные на шпажках (партия #13)</t>
  </si>
  <si>
    <t>Утка запеченная с яблоками (партия #14)</t>
  </si>
  <si>
    <t>487000105014</t>
  </si>
  <si>
    <t>Готово к наклейке; MARGIN_ALERT · итоговая цена 4 410 ₸; передать на кассу</t>
  </si>
  <si>
    <t>Жаркое из курицы с грибами (партия #20)</t>
  </si>
  <si>
    <t>487000105020</t>
  </si>
  <si>
    <t>Бризоль мясной с сыром (партия #21)</t>
  </si>
  <si>
    <t>487000105021</t>
  </si>
  <si>
    <t>Шашлычки куриные на шпажках (партия #22)</t>
  </si>
  <si>
    <t>487000105022;487000999022</t>
  </si>
  <si>
    <t>Утка запеченная с яблоками (партия #23)</t>
  </si>
  <si>
    <t>487000105023</t>
  </si>
  <si>
    <t>Жаркое из курицы с грибами (партия #29)</t>
  </si>
  <si>
    <t>487000105029</t>
  </si>
  <si>
    <t>Бризоль мясной с сыром (партия #30)</t>
  </si>
  <si>
    <t>487000105030</t>
  </si>
  <si>
    <t>Шашлычки куриные на шпажках (партия #31)</t>
  </si>
  <si>
    <t>487000105031</t>
  </si>
  <si>
    <t>Утка запеченная с яблоками (партия #32)</t>
  </si>
  <si>
    <t>487000105032</t>
  </si>
  <si>
    <t>Жаркое из курицы с грибами (партия #38)</t>
  </si>
  <si>
    <t>487000105038</t>
  </si>
  <si>
    <t>Бризоль мясной с сыром (партия #39)</t>
  </si>
  <si>
    <t>Шашлычки куриные на шпажках (партия #40)</t>
  </si>
  <si>
    <t>487000105040</t>
  </si>
  <si>
    <t>Утка запеченная с яблоками (партия #41)</t>
  </si>
  <si>
    <t>487000105041</t>
  </si>
  <si>
    <t>Самса с мясом говядины тандырная</t>
  </si>
  <si>
    <t>4870001004016</t>
  </si>
  <si>
    <t>Кулинария: Выпечка и сдоба</t>
  </si>
  <si>
    <t>Самса с курицей и луком слоеная</t>
  </si>
  <si>
    <t>4870001004023</t>
  </si>
  <si>
    <t>Пирожок с картофелем печеный</t>
  </si>
  <si>
    <t>4870001004030</t>
  </si>
  <si>
    <t>Пирожок с капустой печеный</t>
  </si>
  <si>
    <t>4870001004047</t>
  </si>
  <si>
    <t>Беляш с мясом жареный</t>
  </si>
  <si>
    <t>4870001004054</t>
  </si>
  <si>
    <t>Чебурек с говядиной хрустящий</t>
  </si>
  <si>
    <t>4870001004061</t>
  </si>
  <si>
    <t>Хачапури по-имеретински с сыром 250г</t>
  </si>
  <si>
    <t>4870001004078</t>
  </si>
  <si>
    <t>Сосиска в тесте с кунжутом</t>
  </si>
  <si>
    <t>4870001004085</t>
  </si>
  <si>
    <t>Булочка с корицей Синнабон</t>
  </si>
  <si>
    <t>4870001004092</t>
  </si>
  <si>
    <t>Ватрушка с творогом по-деревенски</t>
  </si>
  <si>
    <t>4870001004108</t>
  </si>
  <si>
    <t>Эчпочмак с говядиной (партия #6)</t>
  </si>
  <si>
    <t>487000105006</t>
  </si>
  <si>
    <t>Эчпочмак с говядиной (партия #15)</t>
  </si>
  <si>
    <t>487000105015</t>
  </si>
  <si>
    <t>Эчпочмак с говядиной (партия #24)</t>
  </si>
  <si>
    <t>487000105024</t>
  </si>
  <si>
    <t>Эчпочмак с говядиной (партия #33)</t>
  </si>
  <si>
    <t>487000105033;487000999033</t>
  </si>
  <si>
    <t>Эчпочмак с говядиной (партия #42)</t>
  </si>
  <si>
    <t>487000105042</t>
  </si>
  <si>
    <t>Код 1С</t>
  </si>
  <si>
    <t>Цена −30%, тг</t>
  </si>
  <si>
    <t>Себестоимость, тг</t>
  </si>
  <si>
    <t>Порог +5%, тг</t>
  </si>
  <si>
    <t>Фактическая скидка</t>
  </si>
  <si>
    <t>Проверка штрихкода</t>
  </si>
  <si>
    <t>Причина корректировки</t>
  </si>
  <si>
    <t>Решение</t>
  </si>
  <si>
    <t>Утвердил</t>
  </si>
  <si>
    <t>Дата и время</t>
  </si>
  <si>
    <t>10310</t>
  </si>
  <si>
    <t>Без замечаний</t>
  </si>
  <si>
    <t>Скидка −30% нарушает минимальную маржу. Цена 2 940 ₸ ограничена порогом себестоимости +5%; итоговую цену нужно передать на кассу без повторных −30%.</t>
  </si>
  <si>
    <t>Не требуется</t>
  </si>
  <si>
    <t>10311</t>
  </si>
  <si>
    <t>Скидка −30% нарушает минимальную маржу. Цена 2 415 ₸ ограничена порогом себестоимости +5%; итоговую цену нужно передать на кассу без повторных −30%.</t>
  </si>
  <si>
    <t>10514</t>
  </si>
  <si>
    <t>Скидка −30% нарушает минимальную маржу. Цена 4 410 ₸ ограничена порогом себестоимости +5%; итоговую цену нужно передать на кассу без повторных −30%.</t>
  </si>
  <si>
    <t>10523</t>
  </si>
  <si>
    <t>10532</t>
  </si>
  <si>
    <t>10541</t>
  </si>
  <si>
    <t>Статус</t>
  </si>
  <si>
    <t>Код риска</t>
  </si>
  <si>
    <t>Причина</t>
  </si>
  <si>
    <t>Рекомендуемое действие</t>
  </si>
  <si>
    <t>Салат Столичный с курицей</t>
  </si>
  <si>
    <t>4870001001077</t>
  </si>
  <si>
    <t>Кулинария: Салаты заправленные</t>
  </si>
  <si>
    <t>Бракераж · Срок годности</t>
  </si>
  <si>
    <t>LOW_STOCK, EXPIRES_BEFORE_PROMO</t>
  </si>
  <si>
    <t>Остаток 0,35 кг подпадает под порог бракеража (≤ 0,5 кг) — оформить акт и списание. Срок годности заканчивается ровно к 20:00 — к началу скидки продавать товар уже нельзя.</t>
  </si>
  <si>
    <t>Акт бракеража; Не выставлять на акцию</t>
  </si>
  <si>
    <t>Салат Оливье с колбасой заправленный</t>
  </si>
  <si>
    <t>4870001001015</t>
  </si>
  <si>
    <t>Срок годности</t>
  </si>
  <si>
    <t>EXPIRES_BEFORE_PROMO</t>
  </si>
  <si>
    <t>Срок годности заканчивается ровно к 20:00 — к началу скидки продавать товар уже нельзя.</t>
  </si>
  <si>
    <t>Не выставлять на акцию</t>
  </si>
  <si>
    <t>Салат Сельдь под шубой заправленный</t>
  </si>
  <si>
    <t>4870001001022</t>
  </si>
  <si>
    <t>Салат Мимоза с горбушей</t>
  </si>
  <si>
    <t>4870001001039</t>
  </si>
  <si>
    <t>Салат Крабовый с кукурузой заправленный</t>
  </si>
  <si>
    <t>4870001001046</t>
  </si>
  <si>
    <t>Салат Цезарь с курицей (соус майонезный)</t>
  </si>
  <si>
    <t>4870001001053</t>
  </si>
  <si>
    <t>EXPIRES_DURING_PROMO</t>
  </si>
  <si>
    <t>Срок годности заканчивается во время скидки, в 20:30. Чтобы исключить продажу после срока, позиция заблокирована на весь вечер.</t>
  </si>
  <si>
    <t>Не клеить стикер; снять товар до истечения срока</t>
  </si>
  <si>
    <t>Салат Гранатовый браслет с курицей</t>
  </si>
  <si>
    <t>4870001001060</t>
  </si>
  <si>
    <t>Салат Гнездо глухаря</t>
  </si>
  <si>
    <t>4870001001084</t>
  </si>
  <si>
    <t>Салат Нежность с ананасом и курицей</t>
  </si>
  <si>
    <t>4870001001091</t>
  </si>
  <si>
    <t>Салат Тиффани с виноградом</t>
  </si>
  <si>
    <t>4870001001107</t>
  </si>
  <si>
    <t>Салат Свекольный с чесноком и майонезом</t>
  </si>
  <si>
    <t>4870001001114</t>
  </si>
  <si>
    <t>Салат Морковь по-корейски с майонезом</t>
  </si>
  <si>
    <t>4870001001121;4870001001128</t>
  </si>
  <si>
    <t>Ошибка штрихкода · Срок годности</t>
  </si>
  <si>
    <t>BARCODE_REVIEW, EXPIRES_BEFORE_PROMO</t>
  </si>
  <si>
    <t>В ячейке указано несколько значений. Срок годности заканчивается ровно к 20:00 — к началу скидки продавать товар уже нельзя.</t>
  </si>
  <si>
    <t>Проверить штрихкод</t>
  </si>
  <si>
    <t>BARCODE_REVIEW</t>
  </si>
  <si>
    <t>В файле сохранена сокращённая текстовая запись. Полный исходный код нужно сверить в 1С. До печати стикера и настройки скидки сверьте код в 1С.</t>
  </si>
  <si>
    <t>Сверить штрихкод в 1С</t>
  </si>
  <si>
    <t>Маржа</t>
  </si>
  <si>
    <t>MARGIN_ALERT</t>
  </si>
  <si>
    <t>Передать итоговую цену на кассу к 20:00</t>
  </si>
  <si>
    <t>MISSING_BARCODE</t>
  </si>
  <si>
    <t>Штрихкод не заполнен. До печати стикера и настройки скидки сверьте код в 1С.</t>
  </si>
  <si>
    <t>Салат 'Фантазия' с копченой курицей (партия #1)</t>
  </si>
  <si>
    <t>487000105001</t>
  </si>
  <si>
    <t>Утка запеченная с яблоками (партия #5)</t>
  </si>
  <si>
    <t>487000105005</t>
  </si>
  <si>
    <t>Ошибки данных</t>
  </si>
  <si>
    <t>FRACTIONAL_PIECES</t>
  </si>
  <si>
    <t>Остаток 0,25 шт нецелый: для единицы «шт» разрешены только целые числа.</t>
  </si>
  <si>
    <t>Проверить и исправить остаток в 1С</t>
  </si>
  <si>
    <t>Салат 'Деревенский' с картофелем (партия #9)</t>
  </si>
  <si>
    <t>487000105009</t>
  </si>
  <si>
    <t>Салат 'Фантазия' с копченой курицей (партия #10)</t>
  </si>
  <si>
    <t>487000105010</t>
  </si>
  <si>
    <t>В ячейке указано несколько значений. До печати стикера и настройки скидки сверьте код в 1С.</t>
  </si>
  <si>
    <t>Салат 'Деревенский' с картофелем (партия #18)</t>
  </si>
  <si>
    <t>487000105018</t>
  </si>
  <si>
    <t>Салат 'Фантазия' с копченой курицей (партия #19)</t>
  </si>
  <si>
    <t>487000105019</t>
  </si>
  <si>
    <t>Салат 'Деревенский' с картофелем (партия #27)</t>
  </si>
  <si>
    <t>487000105027</t>
  </si>
  <si>
    <t>Салат 'Фантазия' с копченой курицей (партия #28)</t>
  </si>
  <si>
    <t>487000105028</t>
  </si>
  <si>
    <t>Салат 'Деревенский' с картофелем (партия #36)</t>
  </si>
  <si>
    <t>487000105036</t>
  </si>
  <si>
    <t>Салат 'Фантазия' с копченой курицей (партия #37)</t>
  </si>
  <si>
    <t>487000105037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</si>
</sst>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color theme="1"/>
      <family val="2"/>
      <scheme val="minor"/>
      <sz val="11"/>
      <name val="Calibri"/>
    </font>
    <font>
      <b/>
      <color rgb="FF193B2B"/>
      <sz val="18"/>
      <name val="Aptos Display"/>
    </font>
    <font>
      <color rgb="FF718077"/>
      <sz val="10"/>
      <name val="Aptos"/>
    </font>
    <font>
      <b/>
      <color rgb="FFFFFFFF"/>
      <sz val="10"/>
      <name val="Aptos"/>
    </font>
    <font>
      <b/>
      <color rgb="FF34443A"/>
      <sz val="10"/>
      <name val="Aptos"/>
    </font>
    <font>
      <b/>
      <color rgb="FF176B43"/>
      <sz val="11"/>
      <name val="Aptos"/>
    </font>
    <font>
      <color rgb="FF34443A"/>
      <sz val="10"/>
      <name val="Aptos"/>
    </font>
    <font>
      <b/>
      <color rgb="FF966516"/>
      <sz val="9"/>
      <name val="Aptos"/>
    </font>
    <font>
      <b/>
      <color rgb="FF176B43"/>
      <sz val="9"/>
      <name val="Aptos"/>
    </font>
  </fonts>
  <fills count="4">
    <fill>
      <patternFill patternType="none"/>
    </fill>
    <fill>
      <patternFill patternType="gray125"/>
    </fill>
    <fill>
      <patternFill patternType="solid">
        <fgColor rgb="FF193B2B"/>
      </patternFill>
    </fill>
    <fill>
      <patternFill patternType="solid">
        <fgColor rgb="FFFAFBF9"/>
      </patternFill>
    </fill>
  </fills>
  <borders count="3">
    <border>
      <left/>
      <right/>
      <top/>
      <bottom/>
      <diagonal/>
    </border>
    <border>
      <left/>
      <right/>
      <top/>
      <bottom style="thin">
        <color rgb="FF193B2B"/>
      </bottom>
      <diagonal/>
    </border>
    <border>
      <left/>
      <right/>
      <top/>
      <bottom style="hair">
        <color rgb="FFE8EDE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2" xfId="0" applyFont="1" applyBorder="1"/>
    <xf numFmtId="0" fontId="5" fillId="0" borderId="2" xfId="0" applyFont="1" applyBorder="1"/>
    <xf numFmtId="0" fontId="2" fillId="0" borderId="2" xfId="0" applyFont="1" applyBorder="1"/>
    <xf numFmtId="0" fontId="0" fillId="0" borderId="2" xfId="0" applyBorder="1"/>
    <xf numFmtId="4" fontId="5" fillId="0" borderId="2" xfId="0" applyNumberFormat="1" applyFont="1" applyBorder="1"/>
    <xf numFmtId="0" fontId="6" fillId="0" borderId="2" xfId="0" applyFont="1" applyBorder="1" applyAlignment="1">
      <alignment vertical="center" wrapText="1"/>
    </xf>
    <xf numFmtId="49" fontId="6" fillId="0" borderId="2" xfId="0" applyNumberFormat="1" applyFont="1" applyBorder="1" applyAlignment="1">
      <alignment vertical="center" wrapText="1"/>
    </xf>
    <xf numFmtId="4" fontId="6" fillId="0" borderId="2" xfId="0" applyNumberFormat="1" applyFont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49" fontId="6" fillId="3" borderId="2" xfId="0" applyNumberFormat="1" applyFont="1" applyFill="1" applyBorder="1" applyAlignment="1">
      <alignment vertical="center" wrapText="1"/>
    </xf>
    <xf numFmtId="4" fontId="6" fillId="3" borderId="2" xfId="0" applyNumberFormat="1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164" fontId="6" fillId="0" borderId="2" xfId="0" applyNumberFormat="1" applyFont="1" applyBorder="1" applyAlignment="1">
      <alignment vertical="center" wrapText="1"/>
    </xf>
    <xf numFmtId="164" fontId="6" fillId="3" borderId="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customWidth="1"/>
    <col min="3" max="3" width="4" customWidth="1"/>
    <col min="4" max="4" width="38" customWidth="1"/>
    <col min="5" max="5" width="48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ht="26" customHeight="1" spans="1: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4</v>
      </c>
    </row>
    <row r="4" ht="25" customHeight="1" spans="1:5" x14ac:dyDescent="0.25">
      <c r="A4" s="4" t="s">
        <v>6</v>
      </c>
      <c r="B4" s="5">
        <f>COUNTA('План 19-40'!A2:A55)</f>
        <v>54</v>
      </c>
      <c r="C4" t="s">
        <v>4</v>
      </c>
      <c r="D4" s="6" t="s">
        <v>7</v>
      </c>
      <c r="E4" s="7" t="s">
        <v>8</v>
      </c>
    </row>
    <row r="5" ht="25" customHeight="1" spans="1:5" x14ac:dyDescent="0.25">
      <c r="A5" s="4" t="s">
        <v>9</v>
      </c>
      <c r="B5" s="5">
        <v>76</v>
      </c>
      <c r="C5" t="s">
        <v>4</v>
      </c>
      <c r="D5" s="6" t="s">
        <v>10</v>
      </c>
      <c r="E5" s="7" t="s">
        <v>11</v>
      </c>
    </row>
    <row r="6" ht="25" customHeight="1" spans="1:5" x14ac:dyDescent="0.25">
      <c r="A6" s="4" t="s">
        <v>12</v>
      </c>
      <c r="B6" s="8">
        <f>SUMPRODUCT('План 19-40'!D2:D55,'План 19-40'!F2:F55)</f>
        <v>729005</v>
      </c>
      <c r="C6" t="s">
        <v>4</v>
      </c>
      <c r="D6" s="6" t="s">
        <v>13</v>
      </c>
      <c r="E6" s="7" t="s">
        <v>14</v>
      </c>
    </row>
    <row r="7" ht="25" customHeight="1" spans="1:5" x14ac:dyDescent="0.25">
      <c r="A7" s="4" t="s">
        <v>15</v>
      </c>
      <c r="B7" s="8">
        <f>SUMPRODUCT('План 19-40'!E2:E55,'План 19-40'!F2:F55)</f>
        <v>536765.5</v>
      </c>
      <c r="C7" t="s">
        <v>4</v>
      </c>
      <c r="D7" s="6" t="s">
        <v>16</v>
      </c>
      <c r="E7" s="7" t="s">
        <v>17</v>
      </c>
    </row>
    <row r="8" ht="25" customHeight="1" spans="1:5" x14ac:dyDescent="0.25">
      <c r="A8" s="4" t="s">
        <v>18</v>
      </c>
      <c r="B8" s="5">
        <f>COUNTA('Исключения'!A2:A36)</f>
        <v>35</v>
      </c>
      <c r="C8" t="s">
        <v>4</v>
      </c>
      <c r="D8" s="6" t="s">
        <v>19</v>
      </c>
      <c r="E8" s="7" t="s">
        <v>20</v>
      </c>
    </row>
    <row r="9" ht="25" customHeight="1" spans="1:5" x14ac:dyDescent="0.25">
      <c r="A9" s="4" t="s">
        <v>21</v>
      </c>
      <c r="B9" s="5">
        <f>COUNTIFS('План 19-40'!H2:H55,"*BARCODE_REVIEW*")</f>
        <v>7</v>
      </c>
      <c r="C9" t="s">
        <v>4</v>
      </c>
      <c r="D9" s="6" t="s">
        <v>22</v>
      </c>
      <c r="E9" s="7" t="s">
        <v>23</v>
      </c>
    </row>
    <row r="10" ht="25" customHeight="1" spans="1:5" x14ac:dyDescent="0.25">
      <c r="A10" s="4" t="s">
        <v>24</v>
      </c>
      <c r="B10" s="5">
        <f>COUNTIFS('Цена скорректирована'!O2:O7,"Утверждено")</f>
        <v>0</v>
      </c>
      <c r="C10" t="s">
        <v>4</v>
      </c>
      <c r="D10" s="6" t="s">
        <v>25</v>
      </c>
      <c r="E10" s="7" t="s">
        <v>26</v>
      </c>
    </row>
    <row r="11" ht="25" customHeight="1" spans="1:5" x14ac:dyDescent="0.25">
      <c r="A11" s="4" t="s">
        <v>27</v>
      </c>
      <c r="B11" s="5">
        <v>6</v>
      </c>
      <c r="C11" t="s">
        <v>4</v>
      </c>
      <c r="D11" s="6" t="s">
        <v>28</v>
      </c>
      <c r="E11" s="7" t="s">
        <v>29</v>
      </c>
    </row>
    <row r="12" ht="25" customHeight="1" spans="1:5" x14ac:dyDescent="0.25">
      <c r="A12" s="4" t="s">
        <v>30</v>
      </c>
      <c r="B12" s="5" t="s">
        <v>31</v>
      </c>
      <c r="C12" t="s">
        <v>4</v>
      </c>
      <c r="D12" s="6" t="s">
        <v>32</v>
      </c>
      <c r="E12" s="7" t="s">
        <v>33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18" customWidth="1"/>
    <col min="3" max="3" width="32" customWidth="1"/>
    <col min="4" max="5" width="17" customWidth="1"/>
    <col min="6" max="7" width="12" customWidth="1"/>
    <col min="8" max="8" width="48" customWidth="1"/>
  </cols>
  <sheetData>
    <row r="1" ht="26" customHeight="1" spans="1:8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</row>
    <row r="2" ht="23" customHeight="1" spans="1:8" x14ac:dyDescent="0.25">
      <c r="A2" s="9" t="s">
        <v>42</v>
      </c>
      <c r="B2" s="10" t="s">
        <v>43</v>
      </c>
      <c r="C2" s="9" t="s">
        <v>44</v>
      </c>
      <c r="D2" s="11">
        <v>3400</v>
      </c>
      <c r="E2" s="11">
        <f>ROUNDDOWN((D2*0.7+1E-8)/5,0)*5</f>
        <v>2380</v>
      </c>
      <c r="F2" s="11">
        <v>5.5</v>
      </c>
      <c r="G2" s="9" t="s">
        <v>45</v>
      </c>
      <c r="H2" s="9" t="s">
        <v>46</v>
      </c>
    </row>
    <row r="3" ht="23" customHeight="1" spans="1:8" x14ac:dyDescent="0.25">
      <c r="A3" s="12" t="s">
        <v>47</v>
      </c>
      <c r="B3" s="13" t="s">
        <v>48</v>
      </c>
      <c r="C3" s="12" t="s">
        <v>44</v>
      </c>
      <c r="D3" s="14">
        <v>1200</v>
      </c>
      <c r="E3" s="14">
        <f>ROUNDDOWN((D3*0.7+1E-8)/5,0)*5</f>
        <v>840</v>
      </c>
      <c r="F3" s="14">
        <v>8.2</v>
      </c>
      <c r="G3" s="12" t="s">
        <v>45</v>
      </c>
      <c r="H3" s="12" t="s">
        <v>46</v>
      </c>
    </row>
    <row r="4" ht="23" customHeight="1" spans="1:8" x14ac:dyDescent="0.25">
      <c r="A4" s="9" t="s">
        <v>49</v>
      </c>
      <c r="B4" s="10" t="s">
        <v>50</v>
      </c>
      <c r="C4" s="9" t="s">
        <v>44</v>
      </c>
      <c r="D4" s="11">
        <v>1800</v>
      </c>
      <c r="E4" s="11">
        <f>ROUNDDOWN((D4*0.7+1E-8)/5,0)*5</f>
        <v>1260</v>
      </c>
      <c r="F4" s="11">
        <v>6.1</v>
      </c>
      <c r="G4" s="9" t="s">
        <v>45</v>
      </c>
      <c r="H4" s="9" t="s">
        <v>46</v>
      </c>
    </row>
    <row r="5" ht="23" customHeight="1" spans="1:8" x14ac:dyDescent="0.25">
      <c r="A5" s="12" t="s">
        <v>51</v>
      </c>
      <c r="B5" s="13" t="s">
        <v>52</v>
      </c>
      <c r="C5" s="12" t="s">
        <v>44</v>
      </c>
      <c r="D5" s="14">
        <v>1400</v>
      </c>
      <c r="E5" s="14">
        <f>ROUNDDOWN((D5*0.7+1E-8)/5,0)*5</f>
        <v>980</v>
      </c>
      <c r="F5" s="14">
        <v>7.9</v>
      </c>
      <c r="G5" s="12" t="s">
        <v>45</v>
      </c>
      <c r="H5" s="12" t="s">
        <v>46</v>
      </c>
    </row>
    <row r="6" ht="38" customHeight="1" spans="1:8" x14ac:dyDescent="0.25">
      <c r="A6" s="9" t="s">
        <v>53</v>
      </c>
      <c r="B6" s="10" t="s">
        <v>54</v>
      </c>
      <c r="C6" s="9" t="s">
        <v>44</v>
      </c>
      <c r="D6" s="11">
        <v>1300</v>
      </c>
      <c r="E6" s="11">
        <f>ROUNDDOWN((D6*0.7+1E-8)/5,0)*5</f>
        <v>910</v>
      </c>
      <c r="F6" s="11">
        <v>9.4</v>
      </c>
      <c r="G6" s="9" t="s">
        <v>45</v>
      </c>
      <c r="H6" s="15" t="s">
        <v>55</v>
      </c>
    </row>
    <row r="7" ht="23" customHeight="1" spans="1:8" x14ac:dyDescent="0.25">
      <c r="A7" s="12" t="s">
        <v>56</v>
      </c>
      <c r="B7" s="13" t="s">
        <v>57</v>
      </c>
      <c r="C7" s="12" t="s">
        <v>58</v>
      </c>
      <c r="D7" s="14">
        <v>2800</v>
      </c>
      <c r="E7" s="14">
        <f>ROUNDDOWN((D7*0.7+1E-8)/5,0)*5</f>
        <v>1960</v>
      </c>
      <c r="F7" s="14">
        <v>14.2</v>
      </c>
      <c r="G7" s="12" t="s">
        <v>45</v>
      </c>
      <c r="H7" s="12" t="s">
        <v>46</v>
      </c>
    </row>
    <row r="8" ht="23" customHeight="1" spans="1:8" x14ac:dyDescent="0.25">
      <c r="A8" s="9" t="s">
        <v>59</v>
      </c>
      <c r="B8" s="10" t="s">
        <v>60</v>
      </c>
      <c r="C8" s="9" t="s">
        <v>58</v>
      </c>
      <c r="D8" s="11">
        <v>350</v>
      </c>
      <c r="E8" s="11">
        <f>ROUNDDOWN((D8*0.7+1E-8)/5,0)*5</f>
        <v>245</v>
      </c>
      <c r="F8" s="11">
        <v>28</v>
      </c>
      <c r="G8" s="9" t="s">
        <v>61</v>
      </c>
      <c r="H8" s="9" t="s">
        <v>46</v>
      </c>
    </row>
    <row r="9" ht="23" customHeight="1" spans="1:8" x14ac:dyDescent="0.25">
      <c r="A9" s="12" t="s">
        <v>62</v>
      </c>
      <c r="B9" s="13" t="s">
        <v>63</v>
      </c>
      <c r="C9" s="12" t="s">
        <v>58</v>
      </c>
      <c r="D9" s="14">
        <v>650</v>
      </c>
      <c r="E9" s="14">
        <f>ROUNDDOWN((D9*0.7+1E-8)/5,0)*5</f>
        <v>455</v>
      </c>
      <c r="F9" s="14">
        <v>22</v>
      </c>
      <c r="G9" s="12" t="s">
        <v>61</v>
      </c>
      <c r="H9" s="12" t="s">
        <v>46</v>
      </c>
    </row>
    <row r="10" ht="23" customHeight="1" spans="1:8" x14ac:dyDescent="0.25">
      <c r="A10" s="9" t="s">
        <v>64</v>
      </c>
      <c r="B10" s="10" t="s">
        <v>65</v>
      </c>
      <c r="C10" s="9" t="s">
        <v>58</v>
      </c>
      <c r="D10" s="11">
        <v>480</v>
      </c>
      <c r="E10" s="11">
        <f>ROUNDDOWN((D10*0.7+1E-8)/5,0)*5</f>
        <v>335</v>
      </c>
      <c r="F10" s="11">
        <v>18</v>
      </c>
      <c r="G10" s="9" t="s">
        <v>61</v>
      </c>
      <c r="H10" s="9" t="s">
        <v>46</v>
      </c>
    </row>
    <row r="11" ht="23" customHeight="1" spans="1:8" x14ac:dyDescent="0.25">
      <c r="A11" s="12" t="s">
        <v>66</v>
      </c>
      <c r="B11" s="13" t="s">
        <v>67</v>
      </c>
      <c r="C11" s="12" t="s">
        <v>58</v>
      </c>
      <c r="D11" s="14">
        <v>2600</v>
      </c>
      <c r="E11" s="14">
        <f>ROUNDDOWN((D11*0.7+1E-8)/5,0)*5</f>
        <v>1820</v>
      </c>
      <c r="F11" s="14">
        <v>7</v>
      </c>
      <c r="G11" s="12" t="s">
        <v>61</v>
      </c>
      <c r="H11" s="12" t="s">
        <v>46</v>
      </c>
    </row>
    <row r="12" ht="23" customHeight="1" spans="1:8" x14ac:dyDescent="0.25">
      <c r="A12" s="9" t="s">
        <v>68</v>
      </c>
      <c r="B12" s="10" t="s">
        <v>69</v>
      </c>
      <c r="C12" s="9" t="s">
        <v>58</v>
      </c>
      <c r="D12" s="11">
        <v>750</v>
      </c>
      <c r="E12" s="11">
        <f>ROUNDDOWN((D12*0.7+1E-8)/5,0)*5</f>
        <v>525</v>
      </c>
      <c r="F12" s="11">
        <v>16</v>
      </c>
      <c r="G12" s="9" t="s">
        <v>61</v>
      </c>
      <c r="H12" s="9" t="s">
        <v>46</v>
      </c>
    </row>
    <row r="13" ht="23" customHeight="1" spans="1:8" x14ac:dyDescent="0.25">
      <c r="A13" s="12" t="s">
        <v>70</v>
      </c>
      <c r="B13" s="13" t="s">
        <v>71</v>
      </c>
      <c r="C13" s="12" t="s">
        <v>58</v>
      </c>
      <c r="D13" s="14">
        <v>3600</v>
      </c>
      <c r="E13" s="14">
        <f>ROUNDDOWN((D13*0.7+1E-8)/5,0)*5</f>
        <v>2520</v>
      </c>
      <c r="F13" s="14">
        <v>6.5</v>
      </c>
      <c r="G13" s="12" t="s">
        <v>45</v>
      </c>
      <c r="H13" s="12" t="s">
        <v>46</v>
      </c>
    </row>
    <row r="14" ht="23" customHeight="1" spans="1:8" x14ac:dyDescent="0.25">
      <c r="A14" s="9" t="s">
        <v>72</v>
      </c>
      <c r="B14" s="10" t="s">
        <v>73</v>
      </c>
      <c r="C14" s="9" t="s">
        <v>58</v>
      </c>
      <c r="D14" s="11">
        <v>2300</v>
      </c>
      <c r="E14" s="11">
        <f>ROUNDDOWN((D14*0.7+1E-8)/5,0)*5</f>
        <v>1610</v>
      </c>
      <c r="F14" s="11">
        <v>8.8</v>
      </c>
      <c r="G14" s="9" t="s">
        <v>45</v>
      </c>
      <c r="H14" s="9" t="s">
        <v>46</v>
      </c>
    </row>
    <row r="15" ht="23" customHeight="1" spans="1:8" x14ac:dyDescent="0.25">
      <c r="A15" s="12" t="s">
        <v>74</v>
      </c>
      <c r="B15" s="13" t="s">
        <v>75</v>
      </c>
      <c r="C15" s="12" t="s">
        <v>58</v>
      </c>
      <c r="D15" s="14">
        <v>4200</v>
      </c>
      <c r="E15" s="14">
        <f>ROUNDDOWN((D15*0.7+1E-8)/5,0)*5</f>
        <v>2940</v>
      </c>
      <c r="F15" s="14">
        <v>5.4</v>
      </c>
      <c r="G15" s="12" t="s">
        <v>45</v>
      </c>
      <c r="H15" s="12" t="s">
        <v>46</v>
      </c>
    </row>
    <row r="16" ht="38" customHeight="1" spans="1:8" x14ac:dyDescent="0.25">
      <c r="A16" s="9" t="s">
        <v>76</v>
      </c>
      <c r="B16" s="10" t="s">
        <v>77</v>
      </c>
      <c r="C16" s="9" t="s">
        <v>58</v>
      </c>
      <c r="D16" s="11">
        <v>3500</v>
      </c>
      <c r="E16" s="11">
        <f>'Цена скорректирована'!K2</f>
        <v>2940</v>
      </c>
      <c r="F16" s="11">
        <v>6</v>
      </c>
      <c r="G16" s="9" t="s">
        <v>78</v>
      </c>
      <c r="H16" s="16" t="s">
        <v>79</v>
      </c>
    </row>
    <row r="17" ht="38" customHeight="1" spans="1:8" x14ac:dyDescent="0.25">
      <c r="A17" s="12" t="s">
        <v>80</v>
      </c>
      <c r="B17" s="13" t="s">
        <v>81</v>
      </c>
      <c r="C17" s="12" t="s">
        <v>58</v>
      </c>
      <c r="D17" s="14">
        <v>2900</v>
      </c>
      <c r="E17" s="14">
        <f>'Цена скорректирована'!K3</f>
        <v>2415</v>
      </c>
      <c r="F17" s="14">
        <v>4</v>
      </c>
      <c r="G17" s="12" t="s">
        <v>78</v>
      </c>
      <c r="H17" s="17" t="s">
        <v>82</v>
      </c>
    </row>
    <row r="18" ht="23" customHeight="1" spans="1:8" x14ac:dyDescent="0.25">
      <c r="A18" s="9" t="s">
        <v>83</v>
      </c>
      <c r="B18" s="10" t="s">
        <v>84</v>
      </c>
      <c r="C18" s="9" t="s">
        <v>58</v>
      </c>
      <c r="D18" s="11">
        <v>1100</v>
      </c>
      <c r="E18" s="11">
        <f>ROUNDDOWN((D18*0.7+1E-8)/5,0)*5</f>
        <v>770</v>
      </c>
      <c r="F18" s="11">
        <v>9.5</v>
      </c>
      <c r="G18" s="9" t="s">
        <v>45</v>
      </c>
      <c r="H18" s="9" t="s">
        <v>46</v>
      </c>
    </row>
    <row r="19" ht="23" customHeight="1" spans="1:8" x14ac:dyDescent="0.25">
      <c r="A19" s="12" t="s">
        <v>85</v>
      </c>
      <c r="B19" s="13" t="s">
        <v>86</v>
      </c>
      <c r="C19" s="12" t="s">
        <v>58</v>
      </c>
      <c r="D19" s="14">
        <v>1200</v>
      </c>
      <c r="E19" s="14">
        <f>ROUNDDOWN((D19*0.7+1E-8)/5,0)*5</f>
        <v>840</v>
      </c>
      <c r="F19" s="14">
        <v>7.2</v>
      </c>
      <c r="G19" s="12" t="s">
        <v>45</v>
      </c>
      <c r="H19" s="12" t="s">
        <v>46</v>
      </c>
    </row>
    <row r="20" ht="23" customHeight="1" spans="1:8" x14ac:dyDescent="0.25">
      <c r="A20" s="9" t="s">
        <v>87</v>
      </c>
      <c r="B20" s="10" t="s">
        <v>88</v>
      </c>
      <c r="C20" s="9" t="s">
        <v>58</v>
      </c>
      <c r="D20" s="11">
        <v>1150</v>
      </c>
      <c r="E20" s="11">
        <f>ROUNDDOWN((D20*0.7+1E-8)/5,0)*5</f>
        <v>805</v>
      </c>
      <c r="F20" s="11">
        <v>5.8</v>
      </c>
      <c r="G20" s="9" t="s">
        <v>45</v>
      </c>
      <c r="H20" s="9" t="s">
        <v>46</v>
      </c>
    </row>
    <row r="21" ht="38" customHeight="1" spans="1:8" x14ac:dyDescent="0.25">
      <c r="A21" s="12" t="s">
        <v>89</v>
      </c>
      <c r="B21" s="13" t="s">
        <v>4</v>
      </c>
      <c r="C21" s="12" t="s">
        <v>58</v>
      </c>
      <c r="D21" s="14">
        <v>1300</v>
      </c>
      <c r="E21" s="14">
        <f>ROUNDDOWN((D21*0.7+1E-8)/5,0)*5</f>
        <v>910</v>
      </c>
      <c r="F21" s="14">
        <v>6</v>
      </c>
      <c r="G21" s="12" t="s">
        <v>45</v>
      </c>
      <c r="H21" s="18" t="s">
        <v>55</v>
      </c>
    </row>
    <row r="22" ht="23" customHeight="1" spans="1:8" x14ac:dyDescent="0.25">
      <c r="A22" s="9" t="s">
        <v>90</v>
      </c>
      <c r="B22" s="10" t="s">
        <v>91</v>
      </c>
      <c r="C22" s="9" t="s">
        <v>58</v>
      </c>
      <c r="D22" s="11">
        <v>2250</v>
      </c>
      <c r="E22" s="11">
        <f>ROUNDDOWN((D22*0.7+1E-8)/5,0)*5</f>
        <v>1575</v>
      </c>
      <c r="F22" s="11">
        <v>9.1</v>
      </c>
      <c r="G22" s="9" t="s">
        <v>45</v>
      </c>
      <c r="H22" s="9" t="s">
        <v>46</v>
      </c>
    </row>
    <row r="23" ht="23" customHeight="1" spans="1:8" x14ac:dyDescent="0.25">
      <c r="A23" s="12" t="s">
        <v>92</v>
      </c>
      <c r="B23" s="13" t="s">
        <v>93</v>
      </c>
      <c r="C23" s="12" t="s">
        <v>58</v>
      </c>
      <c r="D23" s="14">
        <v>550</v>
      </c>
      <c r="E23" s="14">
        <f>ROUNDDOWN((D23*0.7+1E-8)/5,0)*5</f>
        <v>385</v>
      </c>
      <c r="F23" s="14">
        <v>21</v>
      </c>
      <c r="G23" s="12" t="s">
        <v>61</v>
      </c>
      <c r="H23" s="12" t="s">
        <v>46</v>
      </c>
    </row>
    <row r="24" ht="23" customHeight="1" spans="1:8" x14ac:dyDescent="0.25">
      <c r="A24" s="9" t="s">
        <v>94</v>
      </c>
      <c r="B24" s="10" t="s">
        <v>95</v>
      </c>
      <c r="C24" s="9" t="s">
        <v>58</v>
      </c>
      <c r="D24" s="11">
        <v>490</v>
      </c>
      <c r="E24" s="11">
        <f>ROUNDDOWN((D24*0.7+1E-8)/5,0)*5</f>
        <v>340</v>
      </c>
      <c r="F24" s="11">
        <v>28</v>
      </c>
      <c r="G24" s="9" t="s">
        <v>61</v>
      </c>
      <c r="H24" s="9" t="s">
        <v>46</v>
      </c>
    </row>
    <row r="25" ht="38" customHeight="1" spans="1:8" x14ac:dyDescent="0.25">
      <c r="A25" s="12" t="s">
        <v>96</v>
      </c>
      <c r="B25" s="13" t="s">
        <v>97</v>
      </c>
      <c r="C25" s="12" t="s">
        <v>58</v>
      </c>
      <c r="D25" s="14">
        <v>2250</v>
      </c>
      <c r="E25" s="14">
        <f>ROUNDDOWN((D25*0.7+1E-8)/5,0)*5</f>
        <v>1575</v>
      </c>
      <c r="F25" s="14">
        <v>8.3</v>
      </c>
      <c r="G25" s="12" t="s">
        <v>45</v>
      </c>
      <c r="H25" s="18" t="s">
        <v>55</v>
      </c>
    </row>
    <row r="26" ht="23" customHeight="1" spans="1:8" x14ac:dyDescent="0.25">
      <c r="A26" s="9" t="s">
        <v>98</v>
      </c>
      <c r="B26" s="10" t="s">
        <v>99</v>
      </c>
      <c r="C26" s="9" t="s">
        <v>58</v>
      </c>
      <c r="D26" s="11">
        <v>550</v>
      </c>
      <c r="E26" s="11">
        <f>ROUNDDOWN((D26*0.7+1E-8)/5,0)*5</f>
        <v>385</v>
      </c>
      <c r="F26" s="11">
        <v>20</v>
      </c>
      <c r="G26" s="9" t="s">
        <v>61</v>
      </c>
      <c r="H26" s="9" t="s">
        <v>46</v>
      </c>
    </row>
    <row r="27" ht="38" customHeight="1" spans="1:8" x14ac:dyDescent="0.25">
      <c r="A27" s="12" t="s">
        <v>100</v>
      </c>
      <c r="B27" s="13" t="s">
        <v>54</v>
      </c>
      <c r="C27" s="12" t="s">
        <v>58</v>
      </c>
      <c r="D27" s="14">
        <v>490</v>
      </c>
      <c r="E27" s="14">
        <f>ROUNDDOWN((D27*0.7+1E-8)/5,0)*5</f>
        <v>340</v>
      </c>
      <c r="F27" s="14">
        <v>27</v>
      </c>
      <c r="G27" s="12" t="s">
        <v>61</v>
      </c>
      <c r="H27" s="18" t="s">
        <v>55</v>
      </c>
    </row>
    <row r="28" ht="38" customHeight="1" spans="1:8" x14ac:dyDescent="0.25">
      <c r="A28" s="9" t="s">
        <v>101</v>
      </c>
      <c r="B28" s="10" t="s">
        <v>102</v>
      </c>
      <c r="C28" s="9" t="s">
        <v>58</v>
      </c>
      <c r="D28" s="11">
        <v>4800</v>
      </c>
      <c r="E28" s="11">
        <f>'Цена скорректирована'!K4</f>
        <v>4410</v>
      </c>
      <c r="F28" s="11">
        <v>7</v>
      </c>
      <c r="G28" s="9" t="s">
        <v>61</v>
      </c>
      <c r="H28" s="16" t="s">
        <v>103</v>
      </c>
    </row>
    <row r="29" ht="23" customHeight="1" spans="1:8" x14ac:dyDescent="0.25">
      <c r="A29" s="12" t="s">
        <v>104</v>
      </c>
      <c r="B29" s="13" t="s">
        <v>105</v>
      </c>
      <c r="C29" s="12" t="s">
        <v>58</v>
      </c>
      <c r="D29" s="14">
        <v>2250</v>
      </c>
      <c r="E29" s="14">
        <f>ROUNDDOWN((D29*0.7+1E-8)/5,0)*5</f>
        <v>1575</v>
      </c>
      <c r="F29" s="14">
        <v>7.5</v>
      </c>
      <c r="G29" s="12" t="s">
        <v>45</v>
      </c>
      <c r="H29" s="12" t="s">
        <v>46</v>
      </c>
    </row>
    <row r="30" ht="23" customHeight="1" spans="1:8" x14ac:dyDescent="0.25">
      <c r="A30" s="9" t="s">
        <v>106</v>
      </c>
      <c r="B30" s="10" t="s">
        <v>107</v>
      </c>
      <c r="C30" s="9" t="s">
        <v>58</v>
      </c>
      <c r="D30" s="11">
        <v>550</v>
      </c>
      <c r="E30" s="11">
        <f>ROUNDDOWN((D30*0.7+1E-8)/5,0)*5</f>
        <v>385</v>
      </c>
      <c r="F30" s="11">
        <v>19</v>
      </c>
      <c r="G30" s="9" t="s">
        <v>61</v>
      </c>
      <c r="H30" s="9" t="s">
        <v>46</v>
      </c>
    </row>
    <row r="31" ht="38" customHeight="1" spans="1:8" x14ac:dyDescent="0.25">
      <c r="A31" s="12" t="s">
        <v>108</v>
      </c>
      <c r="B31" s="13" t="s">
        <v>109</v>
      </c>
      <c r="C31" s="12" t="s">
        <v>58</v>
      </c>
      <c r="D31" s="14">
        <v>490</v>
      </c>
      <c r="E31" s="14">
        <f>ROUNDDOWN((D31*0.7+1E-8)/5,0)*5</f>
        <v>340</v>
      </c>
      <c r="F31" s="14">
        <v>26</v>
      </c>
      <c r="G31" s="12" t="s">
        <v>61</v>
      </c>
      <c r="H31" s="18" t="s">
        <v>55</v>
      </c>
    </row>
    <row r="32" ht="38" customHeight="1" spans="1:8" x14ac:dyDescent="0.25">
      <c r="A32" s="9" t="s">
        <v>110</v>
      </c>
      <c r="B32" s="10" t="s">
        <v>111</v>
      </c>
      <c r="C32" s="9" t="s">
        <v>58</v>
      </c>
      <c r="D32" s="11">
        <v>4800</v>
      </c>
      <c r="E32" s="11">
        <f>'Цена скорректирована'!K5</f>
        <v>4410</v>
      </c>
      <c r="F32" s="11">
        <v>6</v>
      </c>
      <c r="G32" s="9" t="s">
        <v>61</v>
      </c>
      <c r="H32" s="16" t="s">
        <v>103</v>
      </c>
    </row>
    <row r="33" ht="23" customHeight="1" spans="1:8" x14ac:dyDescent="0.25">
      <c r="A33" s="12" t="s">
        <v>112</v>
      </c>
      <c r="B33" s="13" t="s">
        <v>113</v>
      </c>
      <c r="C33" s="12" t="s">
        <v>58</v>
      </c>
      <c r="D33" s="14">
        <v>2250</v>
      </c>
      <c r="E33" s="14">
        <f>ROUNDDOWN((D33*0.7+1E-8)/5,0)*5</f>
        <v>1575</v>
      </c>
      <c r="F33" s="14">
        <v>10.7</v>
      </c>
      <c r="G33" s="12" t="s">
        <v>45</v>
      </c>
      <c r="H33" s="12" t="s">
        <v>46</v>
      </c>
    </row>
    <row r="34" ht="23" customHeight="1" spans="1:8" x14ac:dyDescent="0.25">
      <c r="A34" s="9" t="s">
        <v>114</v>
      </c>
      <c r="B34" s="10" t="s">
        <v>115</v>
      </c>
      <c r="C34" s="9" t="s">
        <v>58</v>
      </c>
      <c r="D34" s="11">
        <v>550</v>
      </c>
      <c r="E34" s="11">
        <f>ROUNDDOWN((D34*0.7+1E-8)/5,0)*5</f>
        <v>385</v>
      </c>
      <c r="F34" s="11">
        <v>18</v>
      </c>
      <c r="G34" s="9" t="s">
        <v>61</v>
      </c>
      <c r="H34" s="9" t="s">
        <v>46</v>
      </c>
    </row>
    <row r="35" ht="23" customHeight="1" spans="1:8" x14ac:dyDescent="0.25">
      <c r="A35" s="12" t="s">
        <v>116</v>
      </c>
      <c r="B35" s="13" t="s">
        <v>117</v>
      </c>
      <c r="C35" s="12" t="s">
        <v>58</v>
      </c>
      <c r="D35" s="14">
        <v>490</v>
      </c>
      <c r="E35" s="14">
        <f>ROUNDDOWN((D35*0.7+1E-8)/5,0)*5</f>
        <v>340</v>
      </c>
      <c r="F35" s="14">
        <v>25</v>
      </c>
      <c r="G35" s="12" t="s">
        <v>61</v>
      </c>
      <c r="H35" s="12" t="s">
        <v>46</v>
      </c>
    </row>
    <row r="36" ht="38" customHeight="1" spans="1:8" x14ac:dyDescent="0.25">
      <c r="A36" s="9" t="s">
        <v>118</v>
      </c>
      <c r="B36" s="10" t="s">
        <v>119</v>
      </c>
      <c r="C36" s="9" t="s">
        <v>58</v>
      </c>
      <c r="D36" s="11">
        <v>4800</v>
      </c>
      <c r="E36" s="11">
        <f>'Цена скорректирована'!K6</f>
        <v>4410</v>
      </c>
      <c r="F36" s="11">
        <v>5</v>
      </c>
      <c r="G36" s="9" t="s">
        <v>61</v>
      </c>
      <c r="H36" s="16" t="s">
        <v>103</v>
      </c>
    </row>
    <row r="37" ht="23" customHeight="1" spans="1:8" x14ac:dyDescent="0.25">
      <c r="A37" s="12" t="s">
        <v>120</v>
      </c>
      <c r="B37" s="13" t="s">
        <v>121</v>
      </c>
      <c r="C37" s="12" t="s">
        <v>58</v>
      </c>
      <c r="D37" s="14">
        <v>2250</v>
      </c>
      <c r="E37" s="14">
        <f>ROUNDDOWN((D37*0.7+1E-8)/5,0)*5</f>
        <v>1575</v>
      </c>
      <c r="F37" s="14">
        <v>9.9</v>
      </c>
      <c r="G37" s="12" t="s">
        <v>45</v>
      </c>
      <c r="H37" s="12" t="s">
        <v>46</v>
      </c>
    </row>
    <row r="38" ht="38" customHeight="1" spans="1:8" x14ac:dyDescent="0.25">
      <c r="A38" s="9" t="s">
        <v>122</v>
      </c>
      <c r="B38" s="10" t="s">
        <v>54</v>
      </c>
      <c r="C38" s="9" t="s">
        <v>58</v>
      </c>
      <c r="D38" s="11">
        <v>550</v>
      </c>
      <c r="E38" s="11">
        <f>ROUNDDOWN((D38*0.7+1E-8)/5,0)*5</f>
        <v>385</v>
      </c>
      <c r="F38" s="11">
        <v>27</v>
      </c>
      <c r="G38" s="9" t="s">
        <v>61</v>
      </c>
      <c r="H38" s="15" t="s">
        <v>55</v>
      </c>
    </row>
    <row r="39" ht="23" customHeight="1" spans="1:8" x14ac:dyDescent="0.25">
      <c r="A39" s="12" t="s">
        <v>123</v>
      </c>
      <c r="B39" s="13" t="s">
        <v>124</v>
      </c>
      <c r="C39" s="12" t="s">
        <v>58</v>
      </c>
      <c r="D39" s="14">
        <v>490</v>
      </c>
      <c r="E39" s="14">
        <f>ROUNDDOWN((D39*0.7+1E-8)/5,0)*5</f>
        <v>340</v>
      </c>
      <c r="F39" s="14">
        <v>24</v>
      </c>
      <c r="G39" s="12" t="s">
        <v>61</v>
      </c>
      <c r="H39" s="12" t="s">
        <v>46</v>
      </c>
    </row>
    <row r="40" ht="38" customHeight="1" spans="1:8" x14ac:dyDescent="0.25">
      <c r="A40" s="9" t="s">
        <v>125</v>
      </c>
      <c r="B40" s="10" t="s">
        <v>126</v>
      </c>
      <c r="C40" s="9" t="s">
        <v>58</v>
      </c>
      <c r="D40" s="11">
        <v>4800</v>
      </c>
      <c r="E40" s="11">
        <f>'Цена скорректирована'!K7</f>
        <v>4410</v>
      </c>
      <c r="F40" s="11">
        <v>4</v>
      </c>
      <c r="G40" s="9" t="s">
        <v>61</v>
      </c>
      <c r="H40" s="16" t="s">
        <v>103</v>
      </c>
    </row>
    <row r="41" ht="23" customHeight="1" spans="1:8" x14ac:dyDescent="0.25">
      <c r="A41" s="12" t="s">
        <v>127</v>
      </c>
      <c r="B41" s="13" t="s">
        <v>128</v>
      </c>
      <c r="C41" s="12" t="s">
        <v>129</v>
      </c>
      <c r="D41" s="14">
        <v>380</v>
      </c>
      <c r="E41" s="14">
        <f>ROUNDDOWN((D41*0.7+1E-8)/5,0)*5</f>
        <v>265</v>
      </c>
      <c r="F41" s="14">
        <v>34</v>
      </c>
      <c r="G41" s="12" t="s">
        <v>61</v>
      </c>
      <c r="H41" s="12" t="s">
        <v>46</v>
      </c>
    </row>
    <row r="42" ht="23" customHeight="1" spans="1:8" x14ac:dyDescent="0.25">
      <c r="A42" s="9" t="s">
        <v>130</v>
      </c>
      <c r="B42" s="10" t="s">
        <v>131</v>
      </c>
      <c r="C42" s="9" t="s">
        <v>129</v>
      </c>
      <c r="D42" s="11">
        <v>320</v>
      </c>
      <c r="E42" s="11">
        <f>ROUNDDOWN((D42*0.7+1E-8)/5,0)*5</f>
        <v>220</v>
      </c>
      <c r="F42" s="11">
        <v>26</v>
      </c>
      <c r="G42" s="9" t="s">
        <v>61</v>
      </c>
      <c r="H42" s="9" t="s">
        <v>46</v>
      </c>
    </row>
    <row r="43" ht="23" customHeight="1" spans="1:8" x14ac:dyDescent="0.25">
      <c r="A43" s="12" t="s">
        <v>132</v>
      </c>
      <c r="B43" s="13" t="s">
        <v>133</v>
      </c>
      <c r="C43" s="12" t="s">
        <v>129</v>
      </c>
      <c r="D43" s="14">
        <v>160</v>
      </c>
      <c r="E43" s="14">
        <f>ROUNDDOWN((D43*0.7+1E-8)/5,0)*5</f>
        <v>110</v>
      </c>
      <c r="F43" s="14">
        <v>18</v>
      </c>
      <c r="G43" s="12" t="s">
        <v>61</v>
      </c>
      <c r="H43" s="12" t="s">
        <v>46</v>
      </c>
    </row>
    <row r="44" ht="23" customHeight="1" spans="1:8" x14ac:dyDescent="0.25">
      <c r="A44" s="9" t="s">
        <v>134</v>
      </c>
      <c r="B44" s="10" t="s">
        <v>135</v>
      </c>
      <c r="C44" s="9" t="s">
        <v>129</v>
      </c>
      <c r="D44" s="11">
        <v>160</v>
      </c>
      <c r="E44" s="11">
        <f>ROUNDDOWN((D44*0.7+1E-8)/5,0)*5</f>
        <v>110</v>
      </c>
      <c r="F44" s="11">
        <v>15</v>
      </c>
      <c r="G44" s="9" t="s">
        <v>61</v>
      </c>
      <c r="H44" s="9" t="s">
        <v>46</v>
      </c>
    </row>
    <row r="45" ht="23" customHeight="1" spans="1:8" x14ac:dyDescent="0.25">
      <c r="A45" s="12" t="s">
        <v>136</v>
      </c>
      <c r="B45" s="13" t="s">
        <v>137</v>
      </c>
      <c r="C45" s="12" t="s">
        <v>129</v>
      </c>
      <c r="D45" s="14">
        <v>290</v>
      </c>
      <c r="E45" s="14">
        <f>ROUNDDOWN((D45*0.7+1E-8)/5,0)*5</f>
        <v>200</v>
      </c>
      <c r="F45" s="14">
        <v>21</v>
      </c>
      <c r="G45" s="12" t="s">
        <v>61</v>
      </c>
      <c r="H45" s="12" t="s">
        <v>46</v>
      </c>
    </row>
    <row r="46" ht="23" customHeight="1" spans="1:8" x14ac:dyDescent="0.25">
      <c r="A46" s="9" t="s">
        <v>138</v>
      </c>
      <c r="B46" s="10" t="s">
        <v>139</v>
      </c>
      <c r="C46" s="9" t="s">
        <v>129</v>
      </c>
      <c r="D46" s="11">
        <v>350</v>
      </c>
      <c r="E46" s="11">
        <f>ROUNDDOWN((D46*0.7+1E-8)/5,0)*5</f>
        <v>245</v>
      </c>
      <c r="F46" s="11">
        <v>14</v>
      </c>
      <c r="G46" s="9" t="s">
        <v>61</v>
      </c>
      <c r="H46" s="9" t="s">
        <v>46</v>
      </c>
    </row>
    <row r="47" ht="23" customHeight="1" spans="1:8" x14ac:dyDescent="0.25">
      <c r="A47" s="12" t="s">
        <v>140</v>
      </c>
      <c r="B47" s="13" t="s">
        <v>141</v>
      </c>
      <c r="C47" s="12" t="s">
        <v>129</v>
      </c>
      <c r="D47" s="14">
        <v>750</v>
      </c>
      <c r="E47" s="14">
        <f>ROUNDDOWN((D47*0.7+1E-8)/5,0)*5</f>
        <v>525</v>
      </c>
      <c r="F47" s="14">
        <v>11</v>
      </c>
      <c r="G47" s="12" t="s">
        <v>61</v>
      </c>
      <c r="H47" s="12" t="s">
        <v>46</v>
      </c>
    </row>
    <row r="48" ht="23" customHeight="1" spans="1:8" x14ac:dyDescent="0.25">
      <c r="A48" s="9" t="s">
        <v>142</v>
      </c>
      <c r="B48" s="10" t="s">
        <v>143</v>
      </c>
      <c r="C48" s="9" t="s">
        <v>129</v>
      </c>
      <c r="D48" s="11">
        <v>280</v>
      </c>
      <c r="E48" s="11">
        <f>ROUNDDOWN((D48*0.7+1E-8)/5,0)*5</f>
        <v>195</v>
      </c>
      <c r="F48" s="11">
        <v>19</v>
      </c>
      <c r="G48" s="9" t="s">
        <v>61</v>
      </c>
      <c r="H48" s="9" t="s">
        <v>46</v>
      </c>
    </row>
    <row r="49" ht="23" customHeight="1" spans="1:8" x14ac:dyDescent="0.25">
      <c r="A49" s="12" t="s">
        <v>144</v>
      </c>
      <c r="B49" s="13" t="s">
        <v>145</v>
      </c>
      <c r="C49" s="12" t="s">
        <v>129</v>
      </c>
      <c r="D49" s="14">
        <v>420</v>
      </c>
      <c r="E49" s="14">
        <f>ROUNDDOWN((D49*0.7+1E-8)/5,0)*5</f>
        <v>290</v>
      </c>
      <c r="F49" s="14">
        <v>16</v>
      </c>
      <c r="G49" s="12" t="s">
        <v>61</v>
      </c>
      <c r="H49" s="12" t="s">
        <v>46</v>
      </c>
    </row>
    <row r="50" ht="23" customHeight="1" spans="1:8" x14ac:dyDescent="0.25">
      <c r="A50" s="9" t="s">
        <v>146</v>
      </c>
      <c r="B50" s="10" t="s">
        <v>147</v>
      </c>
      <c r="C50" s="9" t="s">
        <v>129</v>
      </c>
      <c r="D50" s="11">
        <v>250</v>
      </c>
      <c r="E50" s="11">
        <f>ROUNDDOWN((D50*0.7+1E-8)/5,0)*5</f>
        <v>175</v>
      </c>
      <c r="F50" s="11">
        <v>12</v>
      </c>
      <c r="G50" s="9" t="s">
        <v>61</v>
      </c>
      <c r="H50" s="9" t="s">
        <v>46</v>
      </c>
    </row>
    <row r="51" ht="23" customHeight="1" spans="1:8" x14ac:dyDescent="0.25">
      <c r="A51" s="12" t="s">
        <v>148</v>
      </c>
      <c r="B51" s="13" t="s">
        <v>149</v>
      </c>
      <c r="C51" s="12" t="s">
        <v>129</v>
      </c>
      <c r="D51" s="14">
        <v>340</v>
      </c>
      <c r="E51" s="14">
        <f>ROUNDDOWN((D51*0.7+1E-8)/5,0)*5</f>
        <v>235</v>
      </c>
      <c r="F51" s="14">
        <v>26</v>
      </c>
      <c r="G51" s="12" t="s">
        <v>61</v>
      </c>
      <c r="H51" s="12" t="s">
        <v>46</v>
      </c>
    </row>
    <row r="52" ht="23" customHeight="1" spans="1:8" x14ac:dyDescent="0.25">
      <c r="A52" s="9" t="s">
        <v>150</v>
      </c>
      <c r="B52" s="10" t="s">
        <v>151</v>
      </c>
      <c r="C52" s="9" t="s">
        <v>129</v>
      </c>
      <c r="D52" s="11">
        <v>340</v>
      </c>
      <c r="E52" s="11">
        <f>ROUNDDOWN((D52*0.7+1E-8)/5,0)*5</f>
        <v>235</v>
      </c>
      <c r="F52" s="11">
        <v>25</v>
      </c>
      <c r="G52" s="9" t="s">
        <v>61</v>
      </c>
      <c r="H52" s="9" t="s">
        <v>46</v>
      </c>
    </row>
    <row r="53" ht="23" customHeight="1" spans="1:8" x14ac:dyDescent="0.25">
      <c r="A53" s="12" t="s">
        <v>152</v>
      </c>
      <c r="B53" s="13" t="s">
        <v>153</v>
      </c>
      <c r="C53" s="12" t="s">
        <v>129</v>
      </c>
      <c r="D53" s="14">
        <v>340</v>
      </c>
      <c r="E53" s="14">
        <f>ROUNDDOWN((D53*0.7+1E-8)/5,0)*5</f>
        <v>235</v>
      </c>
      <c r="F53" s="14">
        <v>24</v>
      </c>
      <c r="G53" s="12" t="s">
        <v>61</v>
      </c>
      <c r="H53" s="12" t="s">
        <v>46</v>
      </c>
    </row>
    <row r="54" ht="38" customHeight="1" spans="1:8" x14ac:dyDescent="0.25">
      <c r="A54" s="9" t="s">
        <v>154</v>
      </c>
      <c r="B54" s="10" t="s">
        <v>155</v>
      </c>
      <c r="C54" s="9" t="s">
        <v>129</v>
      </c>
      <c r="D54" s="11">
        <v>340</v>
      </c>
      <c r="E54" s="11">
        <f>ROUNDDOWN((D54*0.7+1E-8)/5,0)*5</f>
        <v>235</v>
      </c>
      <c r="F54" s="11">
        <v>23</v>
      </c>
      <c r="G54" s="9" t="s">
        <v>61</v>
      </c>
      <c r="H54" s="15" t="s">
        <v>55</v>
      </c>
    </row>
    <row r="55" ht="23" customHeight="1" spans="1:8" x14ac:dyDescent="0.25">
      <c r="A55" s="12" t="s">
        <v>156</v>
      </c>
      <c r="B55" s="13" t="s">
        <v>157</v>
      </c>
      <c r="C55" s="12" t="s">
        <v>129</v>
      </c>
      <c r="D55" s="14">
        <v>340</v>
      </c>
      <c r="E55" s="14">
        <f>ROUNDDOWN((D55*0.7+1E-8)/5,0)*5</f>
        <v>235</v>
      </c>
      <c r="F55" s="14">
        <v>22</v>
      </c>
      <c r="G55" s="12" t="s">
        <v>61</v>
      </c>
      <c r="H55" s="12" t="s">
        <v>46</v>
      </c>
    </row>
  </sheetData>
  <autoFilter ref="A1:H55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43" customWidth="1"/>
    <col min="2" max="2" width="13" customWidth="1"/>
    <col min="3" max="3" width="19" customWidth="1"/>
    <col min="4" max="4" width="32" customWidth="1"/>
    <col min="5" max="6" width="12" customWidth="1"/>
    <col min="7" max="8" width="18" customWidth="1"/>
    <col min="9" max="9" width="19" customWidth="1"/>
    <col min="10" max="11" width="18" customWidth="1"/>
    <col min="12" max="12" width="19" customWidth="1"/>
    <col min="13" max="13" width="18" customWidth="1"/>
    <col min="14" max="14" width="60" customWidth="1"/>
    <col min="15" max="15" width="17" customWidth="1"/>
    <col min="16" max="16" width="23" customWidth="1"/>
    <col min="17" max="17" width="25" customWidth="1"/>
  </cols>
  <sheetData>
    <row r="1" ht="42" customHeight="1" spans="1:17" x14ac:dyDescent="0.25">
      <c r="A1" s="3" t="s">
        <v>34</v>
      </c>
      <c r="B1" s="3" t="s">
        <v>158</v>
      </c>
      <c r="C1" s="3" t="s">
        <v>35</v>
      </c>
      <c r="D1" s="3" t="s">
        <v>36</v>
      </c>
      <c r="E1" s="3" t="s">
        <v>39</v>
      </c>
      <c r="F1" s="3" t="s">
        <v>40</v>
      </c>
      <c r="G1" s="3" t="s">
        <v>37</v>
      </c>
      <c r="H1" s="3" t="s">
        <v>159</v>
      </c>
      <c r="I1" s="3" t="s">
        <v>160</v>
      </c>
      <c r="J1" s="3" t="s">
        <v>161</v>
      </c>
      <c r="K1" s="3" t="s">
        <v>38</v>
      </c>
      <c r="L1" s="3" t="s">
        <v>162</v>
      </c>
      <c r="M1" s="3" t="s">
        <v>163</v>
      </c>
      <c r="N1" s="3" t="s">
        <v>164</v>
      </c>
      <c r="O1" s="3" t="s">
        <v>165</v>
      </c>
      <c r="P1" s="3" t="s">
        <v>166</v>
      </c>
      <c r="Q1" s="3" t="s">
        <v>167</v>
      </c>
    </row>
    <row r="2" ht="36" customHeight="1" spans="1:17" x14ac:dyDescent="0.25">
      <c r="A2" s="9" t="s">
        <v>76</v>
      </c>
      <c r="B2" s="10" t="s">
        <v>168</v>
      </c>
      <c r="C2" s="10" t="s">
        <v>77</v>
      </c>
      <c r="D2" s="9" t="s">
        <v>58</v>
      </c>
      <c r="E2" s="11">
        <v>6</v>
      </c>
      <c r="F2" s="9" t="s">
        <v>78</v>
      </c>
      <c r="G2" s="11">
        <v>3500</v>
      </c>
      <c r="H2" s="11">
        <f>ROUNDDOWN((G2*0.7+1E-8)/5,0)*5</f>
        <v>2450</v>
      </c>
      <c r="I2" s="11">
        <v>2800</v>
      </c>
      <c r="J2" s="11">
        <f>I2*1.05</f>
        <v>2940</v>
      </c>
      <c r="K2" s="11">
        <v>2940</v>
      </c>
      <c r="L2" s="19">
        <f>1-K2/G2</f>
        <v>0.16000000000000003</v>
      </c>
      <c r="M2" s="9" t="s">
        <v>169</v>
      </c>
      <c r="N2" s="9" t="s">
        <v>170</v>
      </c>
      <c r="O2" s="9" t="s">
        <v>171</v>
      </c>
      <c r="P2" s="9" t="s">
        <v>4</v>
      </c>
      <c r="Q2" s="9" t="s">
        <v>4</v>
      </c>
    </row>
    <row r="3" ht="36" customHeight="1" spans="1:17" x14ac:dyDescent="0.25">
      <c r="A3" s="12" t="s">
        <v>80</v>
      </c>
      <c r="B3" s="13" t="s">
        <v>172</v>
      </c>
      <c r="C3" s="13" t="s">
        <v>81</v>
      </c>
      <c r="D3" s="12" t="s">
        <v>58</v>
      </c>
      <c r="E3" s="14">
        <v>4</v>
      </c>
      <c r="F3" s="12" t="s">
        <v>78</v>
      </c>
      <c r="G3" s="14">
        <v>2900</v>
      </c>
      <c r="H3" s="14">
        <f>ROUNDDOWN((G3*0.7+1E-8)/5,0)*5</f>
        <v>2030</v>
      </c>
      <c r="I3" s="14">
        <v>2300</v>
      </c>
      <c r="J3" s="14">
        <f>I3*1.05</f>
        <v>2415</v>
      </c>
      <c r="K3" s="14">
        <v>2415</v>
      </c>
      <c r="L3" s="20">
        <f>1-K3/G3</f>
        <v>0.16724137931034477</v>
      </c>
      <c r="M3" s="12" t="s">
        <v>169</v>
      </c>
      <c r="N3" s="12" t="s">
        <v>173</v>
      </c>
      <c r="O3" s="12" t="s">
        <v>171</v>
      </c>
      <c r="P3" s="12" t="s">
        <v>4</v>
      </c>
      <c r="Q3" s="12" t="s">
        <v>4</v>
      </c>
    </row>
    <row r="4" ht="36" customHeight="1" spans="1:17" x14ac:dyDescent="0.25">
      <c r="A4" s="9" t="s">
        <v>101</v>
      </c>
      <c r="B4" s="10" t="s">
        <v>174</v>
      </c>
      <c r="C4" s="10" t="s">
        <v>102</v>
      </c>
      <c r="D4" s="9" t="s">
        <v>58</v>
      </c>
      <c r="E4" s="11">
        <v>7</v>
      </c>
      <c r="F4" s="9" t="s">
        <v>61</v>
      </c>
      <c r="G4" s="11">
        <v>4800</v>
      </c>
      <c r="H4" s="11">
        <f>ROUNDDOWN((G4*0.7+1E-8)/5,0)*5</f>
        <v>3360</v>
      </c>
      <c r="I4" s="11">
        <v>4200</v>
      </c>
      <c r="J4" s="11">
        <f>I4*1.05</f>
        <v>4410</v>
      </c>
      <c r="K4" s="11">
        <v>4410</v>
      </c>
      <c r="L4" s="19">
        <f>1-K4/G4</f>
        <v>0.08125000000000004</v>
      </c>
      <c r="M4" s="9" t="s">
        <v>169</v>
      </c>
      <c r="N4" s="9" t="s">
        <v>175</v>
      </c>
      <c r="O4" s="9" t="s">
        <v>171</v>
      </c>
      <c r="P4" s="9" t="s">
        <v>4</v>
      </c>
      <c r="Q4" s="9" t="s">
        <v>4</v>
      </c>
    </row>
    <row r="5" ht="36" customHeight="1" spans="1:17" x14ac:dyDescent="0.25">
      <c r="A5" s="12" t="s">
        <v>110</v>
      </c>
      <c r="B5" s="13" t="s">
        <v>176</v>
      </c>
      <c r="C5" s="13" t="s">
        <v>111</v>
      </c>
      <c r="D5" s="12" t="s">
        <v>58</v>
      </c>
      <c r="E5" s="14">
        <v>6</v>
      </c>
      <c r="F5" s="12" t="s">
        <v>61</v>
      </c>
      <c r="G5" s="14">
        <v>4800</v>
      </c>
      <c r="H5" s="14">
        <f>ROUNDDOWN((G5*0.7+1E-8)/5,0)*5</f>
        <v>3360</v>
      </c>
      <c r="I5" s="14">
        <v>4200</v>
      </c>
      <c r="J5" s="14">
        <f>I5*1.05</f>
        <v>4410</v>
      </c>
      <c r="K5" s="14">
        <v>4410</v>
      </c>
      <c r="L5" s="20">
        <f>1-K5/G5</f>
        <v>0.08125000000000004</v>
      </c>
      <c r="M5" s="12" t="s">
        <v>169</v>
      </c>
      <c r="N5" s="12" t="s">
        <v>175</v>
      </c>
      <c r="O5" s="12" t="s">
        <v>171</v>
      </c>
      <c r="P5" s="12" t="s">
        <v>4</v>
      </c>
      <c r="Q5" s="12" t="s">
        <v>4</v>
      </c>
    </row>
    <row r="6" ht="36" customHeight="1" spans="1:17" x14ac:dyDescent="0.25">
      <c r="A6" s="9" t="s">
        <v>118</v>
      </c>
      <c r="B6" s="10" t="s">
        <v>177</v>
      </c>
      <c r="C6" s="10" t="s">
        <v>119</v>
      </c>
      <c r="D6" s="9" t="s">
        <v>58</v>
      </c>
      <c r="E6" s="11">
        <v>5</v>
      </c>
      <c r="F6" s="9" t="s">
        <v>61</v>
      </c>
      <c r="G6" s="11">
        <v>4800</v>
      </c>
      <c r="H6" s="11">
        <f>ROUNDDOWN((G6*0.7+1E-8)/5,0)*5</f>
        <v>3360</v>
      </c>
      <c r="I6" s="11">
        <v>4200</v>
      </c>
      <c r="J6" s="11">
        <f>I6*1.05</f>
        <v>4410</v>
      </c>
      <c r="K6" s="11">
        <v>4410</v>
      </c>
      <c r="L6" s="19">
        <f>1-K6/G6</f>
        <v>0.08125000000000004</v>
      </c>
      <c r="M6" s="9" t="s">
        <v>169</v>
      </c>
      <c r="N6" s="9" t="s">
        <v>175</v>
      </c>
      <c r="O6" s="9" t="s">
        <v>171</v>
      </c>
      <c r="P6" s="9" t="s">
        <v>4</v>
      </c>
      <c r="Q6" s="9" t="s">
        <v>4</v>
      </c>
    </row>
    <row r="7" ht="36" customHeight="1" spans="1:17" x14ac:dyDescent="0.25">
      <c r="A7" s="12" t="s">
        <v>125</v>
      </c>
      <c r="B7" s="13" t="s">
        <v>178</v>
      </c>
      <c r="C7" s="13" t="s">
        <v>126</v>
      </c>
      <c r="D7" s="12" t="s">
        <v>58</v>
      </c>
      <c r="E7" s="14">
        <v>4</v>
      </c>
      <c r="F7" s="12" t="s">
        <v>61</v>
      </c>
      <c r="G7" s="14">
        <v>4800</v>
      </c>
      <c r="H7" s="14">
        <f>ROUNDDOWN((G7*0.7+1E-8)/5,0)*5</f>
        <v>3360</v>
      </c>
      <c r="I7" s="14">
        <v>4200</v>
      </c>
      <c r="J7" s="14">
        <f>I7*1.05</f>
        <v>4410</v>
      </c>
      <c r="K7" s="14">
        <v>4410</v>
      </c>
      <c r="L7" s="20">
        <f>1-K7/G7</f>
        <v>0.08125000000000004</v>
      </c>
      <c r="M7" s="12" t="s">
        <v>169</v>
      </c>
      <c r="N7" s="12" t="s">
        <v>175</v>
      </c>
      <c r="O7" s="12" t="s">
        <v>171</v>
      </c>
      <c r="P7" s="12" t="s">
        <v>4</v>
      </c>
      <c r="Q7" s="12" t="s">
        <v>4</v>
      </c>
    </row>
  </sheetData>
  <autoFilter ref="A1:Q7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18" customWidth="1"/>
    <col min="3" max="3" width="32" customWidth="1"/>
    <col min="4" max="5" width="12" customWidth="1"/>
    <col min="6" max="6" width="17" customWidth="1"/>
    <col min="7" max="7" width="28" customWidth="1"/>
    <col min="8" max="8" width="65" customWidth="1"/>
    <col min="9" max="9" width="29" customWidth="1"/>
  </cols>
  <sheetData>
    <row r="1" ht="26" customHeight="1" spans="1:9" x14ac:dyDescent="0.25">
      <c r="A1" s="3" t="s">
        <v>34</v>
      </c>
      <c r="B1" s="3" t="s">
        <v>35</v>
      </c>
      <c r="C1" s="3" t="s">
        <v>36</v>
      </c>
      <c r="D1" s="3" t="s">
        <v>39</v>
      </c>
      <c r="E1" s="3" t="s">
        <v>40</v>
      </c>
      <c r="F1" s="3" t="s">
        <v>179</v>
      </c>
      <c r="G1" s="3" t="s">
        <v>180</v>
      </c>
      <c r="H1" s="3" t="s">
        <v>181</v>
      </c>
      <c r="I1" s="3" t="s">
        <v>182</v>
      </c>
    </row>
    <row r="2" ht="34" customHeight="1" spans="1:9" x14ac:dyDescent="0.25">
      <c r="A2" s="9" t="s">
        <v>183</v>
      </c>
      <c r="B2" s="10" t="s">
        <v>184</v>
      </c>
      <c r="C2" s="9" t="s">
        <v>185</v>
      </c>
      <c r="D2" s="11">
        <v>0.35</v>
      </c>
      <c r="E2" s="9" t="s">
        <v>45</v>
      </c>
      <c r="F2" s="9" t="s">
        <v>186</v>
      </c>
      <c r="G2" s="9" t="s">
        <v>187</v>
      </c>
      <c r="H2" s="9" t="s">
        <v>188</v>
      </c>
      <c r="I2" s="9" t="s">
        <v>189</v>
      </c>
    </row>
  </sheetData>
  <autoFilter ref="A1:I2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18" customWidth="1"/>
    <col min="3" max="3" width="32" customWidth="1"/>
    <col min="4" max="5" width="12" customWidth="1"/>
    <col min="6" max="6" width="17" customWidth="1"/>
    <col min="7" max="7" width="28" customWidth="1"/>
    <col min="8" max="8" width="65" customWidth="1"/>
    <col min="9" max="9" width="29" customWidth="1"/>
  </cols>
  <sheetData>
    <row r="1" ht="26" customHeight="1" spans="1:9" x14ac:dyDescent="0.25">
      <c r="A1" s="3" t="s">
        <v>34</v>
      </c>
      <c r="B1" s="3" t="s">
        <v>35</v>
      </c>
      <c r="C1" s="3" t="s">
        <v>36</v>
      </c>
      <c r="D1" s="3" t="s">
        <v>39</v>
      </c>
      <c r="E1" s="3" t="s">
        <v>40</v>
      </c>
      <c r="F1" s="3" t="s">
        <v>179</v>
      </c>
      <c r="G1" s="3" t="s">
        <v>180</v>
      </c>
      <c r="H1" s="3" t="s">
        <v>181</v>
      </c>
      <c r="I1" s="3" t="s">
        <v>182</v>
      </c>
    </row>
    <row r="2" ht="34" customHeight="1" spans="1:9" x14ac:dyDescent="0.25">
      <c r="A2" s="9" t="s">
        <v>190</v>
      </c>
      <c r="B2" s="10" t="s">
        <v>191</v>
      </c>
      <c r="C2" s="9" t="s">
        <v>185</v>
      </c>
      <c r="D2" s="11">
        <v>12.5</v>
      </c>
      <c r="E2" s="9" t="s">
        <v>45</v>
      </c>
      <c r="F2" s="9" t="s">
        <v>192</v>
      </c>
      <c r="G2" s="9" t="s">
        <v>193</v>
      </c>
      <c r="H2" s="9" t="s">
        <v>194</v>
      </c>
      <c r="I2" s="9" t="s">
        <v>195</v>
      </c>
    </row>
    <row r="3" ht="34" customHeight="1" spans="1:9" x14ac:dyDescent="0.25">
      <c r="A3" s="12" t="s">
        <v>196</v>
      </c>
      <c r="B3" s="13" t="s">
        <v>197</v>
      </c>
      <c r="C3" s="12" t="s">
        <v>185</v>
      </c>
      <c r="D3" s="14">
        <v>8.4</v>
      </c>
      <c r="E3" s="12" t="s">
        <v>45</v>
      </c>
      <c r="F3" s="12" t="s">
        <v>192</v>
      </c>
      <c r="G3" s="12" t="s">
        <v>193</v>
      </c>
      <c r="H3" s="12" t="s">
        <v>194</v>
      </c>
      <c r="I3" s="12" t="s">
        <v>195</v>
      </c>
    </row>
    <row r="4" ht="34" customHeight="1" spans="1:9" x14ac:dyDescent="0.25">
      <c r="A4" s="9" t="s">
        <v>198</v>
      </c>
      <c r="B4" s="10" t="s">
        <v>199</v>
      </c>
      <c r="C4" s="9" t="s">
        <v>185</v>
      </c>
      <c r="D4" s="11">
        <v>5.2</v>
      </c>
      <c r="E4" s="9" t="s">
        <v>45</v>
      </c>
      <c r="F4" s="9" t="s">
        <v>192</v>
      </c>
      <c r="G4" s="9" t="s">
        <v>193</v>
      </c>
      <c r="H4" s="9" t="s">
        <v>194</v>
      </c>
      <c r="I4" s="9" t="s">
        <v>195</v>
      </c>
    </row>
    <row r="5" ht="34" customHeight="1" spans="1:9" x14ac:dyDescent="0.25">
      <c r="A5" s="12" t="s">
        <v>200</v>
      </c>
      <c r="B5" s="13" t="s">
        <v>201</v>
      </c>
      <c r="C5" s="12" t="s">
        <v>185</v>
      </c>
      <c r="D5" s="14">
        <v>9.1</v>
      </c>
      <c r="E5" s="12" t="s">
        <v>45</v>
      </c>
      <c r="F5" s="12" t="s">
        <v>192</v>
      </c>
      <c r="G5" s="12" t="s">
        <v>193</v>
      </c>
      <c r="H5" s="12" t="s">
        <v>194</v>
      </c>
      <c r="I5" s="12" t="s">
        <v>195</v>
      </c>
    </row>
    <row r="6" ht="34" customHeight="1" spans="1:9" x14ac:dyDescent="0.25">
      <c r="A6" s="9" t="s">
        <v>202</v>
      </c>
      <c r="B6" s="10" t="s">
        <v>203</v>
      </c>
      <c r="C6" s="9" t="s">
        <v>185</v>
      </c>
      <c r="D6" s="11">
        <v>6.8</v>
      </c>
      <c r="E6" s="9" t="s">
        <v>45</v>
      </c>
      <c r="F6" s="9" t="s">
        <v>192</v>
      </c>
      <c r="G6" s="9" t="s">
        <v>204</v>
      </c>
      <c r="H6" s="9" t="s">
        <v>205</v>
      </c>
      <c r="I6" s="9" t="s">
        <v>206</v>
      </c>
    </row>
    <row r="7" ht="34" customHeight="1" spans="1:9" x14ac:dyDescent="0.25">
      <c r="A7" s="12" t="s">
        <v>207</v>
      </c>
      <c r="B7" s="13" t="s">
        <v>208</v>
      </c>
      <c r="C7" s="12" t="s">
        <v>185</v>
      </c>
      <c r="D7" s="14">
        <v>4.3</v>
      </c>
      <c r="E7" s="12" t="s">
        <v>45</v>
      </c>
      <c r="F7" s="12" t="s">
        <v>192</v>
      </c>
      <c r="G7" s="12" t="s">
        <v>193</v>
      </c>
      <c r="H7" s="12" t="s">
        <v>194</v>
      </c>
      <c r="I7" s="12" t="s">
        <v>195</v>
      </c>
    </row>
    <row r="8" ht="34" customHeight="1" spans="1:9" x14ac:dyDescent="0.25">
      <c r="A8" s="9" t="s">
        <v>183</v>
      </c>
      <c r="B8" s="10" t="s">
        <v>184</v>
      </c>
      <c r="C8" s="9" t="s">
        <v>185</v>
      </c>
      <c r="D8" s="11">
        <v>0.35</v>
      </c>
      <c r="E8" s="9" t="s">
        <v>45</v>
      </c>
      <c r="F8" s="9" t="s">
        <v>186</v>
      </c>
      <c r="G8" s="9" t="s">
        <v>187</v>
      </c>
      <c r="H8" s="9" t="s">
        <v>188</v>
      </c>
      <c r="I8" s="9" t="s">
        <v>189</v>
      </c>
    </row>
    <row r="9" ht="34" customHeight="1" spans="1:9" x14ac:dyDescent="0.25">
      <c r="A9" s="12" t="s">
        <v>209</v>
      </c>
      <c r="B9" s="13" t="s">
        <v>210</v>
      </c>
      <c r="C9" s="12" t="s">
        <v>185</v>
      </c>
      <c r="D9" s="14">
        <v>3.7</v>
      </c>
      <c r="E9" s="12" t="s">
        <v>45</v>
      </c>
      <c r="F9" s="12" t="s">
        <v>192</v>
      </c>
      <c r="G9" s="12" t="s">
        <v>193</v>
      </c>
      <c r="H9" s="12" t="s">
        <v>194</v>
      </c>
      <c r="I9" s="12" t="s">
        <v>195</v>
      </c>
    </row>
    <row r="10" ht="34" customHeight="1" spans="1:9" x14ac:dyDescent="0.25">
      <c r="A10" s="9" t="s">
        <v>211</v>
      </c>
      <c r="B10" s="10" t="s">
        <v>212</v>
      </c>
      <c r="C10" s="9" t="s">
        <v>185</v>
      </c>
      <c r="D10" s="11">
        <v>5</v>
      </c>
      <c r="E10" s="9" t="s">
        <v>45</v>
      </c>
      <c r="F10" s="9" t="s">
        <v>192</v>
      </c>
      <c r="G10" s="9" t="s">
        <v>204</v>
      </c>
      <c r="H10" s="9" t="s">
        <v>205</v>
      </c>
      <c r="I10" s="9" t="s">
        <v>206</v>
      </c>
    </row>
    <row r="11" ht="34" customHeight="1" spans="1:9" x14ac:dyDescent="0.25">
      <c r="A11" s="12" t="s">
        <v>213</v>
      </c>
      <c r="B11" s="13" t="s">
        <v>214</v>
      </c>
      <c r="C11" s="12" t="s">
        <v>185</v>
      </c>
      <c r="D11" s="14">
        <v>2.8</v>
      </c>
      <c r="E11" s="12" t="s">
        <v>45</v>
      </c>
      <c r="F11" s="12" t="s">
        <v>192</v>
      </c>
      <c r="G11" s="12" t="s">
        <v>193</v>
      </c>
      <c r="H11" s="12" t="s">
        <v>194</v>
      </c>
      <c r="I11" s="12" t="s">
        <v>195</v>
      </c>
    </row>
    <row r="12" ht="34" customHeight="1" spans="1:9" x14ac:dyDescent="0.25">
      <c r="A12" s="9" t="s">
        <v>215</v>
      </c>
      <c r="B12" s="10" t="s">
        <v>216</v>
      </c>
      <c r="C12" s="9" t="s">
        <v>185</v>
      </c>
      <c r="D12" s="11">
        <v>6.4</v>
      </c>
      <c r="E12" s="9" t="s">
        <v>45</v>
      </c>
      <c r="F12" s="9" t="s">
        <v>192</v>
      </c>
      <c r="G12" s="9" t="s">
        <v>193</v>
      </c>
      <c r="H12" s="9" t="s">
        <v>194</v>
      </c>
      <c r="I12" s="9" t="s">
        <v>195</v>
      </c>
    </row>
    <row r="13" ht="34" customHeight="1" spans="1:9" x14ac:dyDescent="0.25">
      <c r="A13" s="12" t="s">
        <v>217</v>
      </c>
      <c r="B13" s="13" t="s">
        <v>218</v>
      </c>
      <c r="C13" s="12" t="s">
        <v>185</v>
      </c>
      <c r="D13" s="14">
        <v>4.1</v>
      </c>
      <c r="E13" s="12" t="s">
        <v>45</v>
      </c>
      <c r="F13" s="12" t="s">
        <v>219</v>
      </c>
      <c r="G13" s="12" t="s">
        <v>220</v>
      </c>
      <c r="H13" s="12" t="s">
        <v>221</v>
      </c>
      <c r="I13" s="12" t="s">
        <v>195</v>
      </c>
    </row>
    <row r="14" ht="34" customHeight="1" spans="1:9" x14ac:dyDescent="0.25">
      <c r="A14" s="9" t="s">
        <v>53</v>
      </c>
      <c r="B14" s="10" t="s">
        <v>54</v>
      </c>
      <c r="C14" s="9" t="s">
        <v>44</v>
      </c>
      <c r="D14" s="11">
        <v>9.4</v>
      </c>
      <c r="E14" s="9" t="s">
        <v>45</v>
      </c>
      <c r="F14" s="9" t="s">
        <v>222</v>
      </c>
      <c r="G14" s="9" t="s">
        <v>223</v>
      </c>
      <c r="H14" s="9" t="s">
        <v>224</v>
      </c>
      <c r="I14" s="9" t="s">
        <v>225</v>
      </c>
    </row>
    <row r="15" ht="34" customHeight="1" spans="1:9" x14ac:dyDescent="0.25">
      <c r="A15" s="12" t="s">
        <v>76</v>
      </c>
      <c r="B15" s="13" t="s">
        <v>77</v>
      </c>
      <c r="C15" s="12" t="s">
        <v>58</v>
      </c>
      <c r="D15" s="14">
        <v>6</v>
      </c>
      <c r="E15" s="12" t="s">
        <v>78</v>
      </c>
      <c r="F15" s="12" t="s">
        <v>226</v>
      </c>
      <c r="G15" s="12" t="s">
        <v>227</v>
      </c>
      <c r="H15" s="12" t="s">
        <v>170</v>
      </c>
      <c r="I15" s="12" t="s">
        <v>228</v>
      </c>
    </row>
    <row r="16" ht="34" customHeight="1" spans="1:9" x14ac:dyDescent="0.25">
      <c r="A16" s="9" t="s">
        <v>80</v>
      </c>
      <c r="B16" s="10" t="s">
        <v>81</v>
      </c>
      <c r="C16" s="9" t="s">
        <v>58</v>
      </c>
      <c r="D16" s="11">
        <v>4</v>
      </c>
      <c r="E16" s="9" t="s">
        <v>78</v>
      </c>
      <c r="F16" s="9" t="s">
        <v>226</v>
      </c>
      <c r="G16" s="9" t="s">
        <v>227</v>
      </c>
      <c r="H16" s="9" t="s">
        <v>173</v>
      </c>
      <c r="I16" s="9" t="s">
        <v>228</v>
      </c>
    </row>
    <row r="17" ht="34" customHeight="1" spans="1:9" x14ac:dyDescent="0.25">
      <c r="A17" s="12" t="s">
        <v>89</v>
      </c>
      <c r="B17" s="13" t="s">
        <v>4</v>
      </c>
      <c r="C17" s="12" t="s">
        <v>58</v>
      </c>
      <c r="D17" s="14">
        <v>6</v>
      </c>
      <c r="E17" s="12" t="s">
        <v>45</v>
      </c>
      <c r="F17" s="12" t="s">
        <v>222</v>
      </c>
      <c r="G17" s="12" t="s">
        <v>229</v>
      </c>
      <c r="H17" s="12" t="s">
        <v>230</v>
      </c>
      <c r="I17" s="12" t="s">
        <v>225</v>
      </c>
    </row>
    <row r="18" ht="34" customHeight="1" spans="1:9" x14ac:dyDescent="0.25">
      <c r="A18" s="9" t="s">
        <v>231</v>
      </c>
      <c r="B18" s="10" t="s">
        <v>232</v>
      </c>
      <c r="C18" s="9" t="s">
        <v>185</v>
      </c>
      <c r="D18" s="11">
        <v>5.6</v>
      </c>
      <c r="E18" s="9" t="s">
        <v>45</v>
      </c>
      <c r="F18" s="9" t="s">
        <v>192</v>
      </c>
      <c r="G18" s="9" t="s">
        <v>193</v>
      </c>
      <c r="H18" s="9" t="s">
        <v>194</v>
      </c>
      <c r="I18" s="9" t="s">
        <v>195</v>
      </c>
    </row>
    <row r="19" ht="34" customHeight="1" spans="1:9" x14ac:dyDescent="0.25">
      <c r="A19" s="12" t="s">
        <v>233</v>
      </c>
      <c r="B19" s="13" t="s">
        <v>234</v>
      </c>
      <c r="C19" s="12" t="s">
        <v>58</v>
      </c>
      <c r="D19" s="14">
        <v>0.25</v>
      </c>
      <c r="E19" s="12" t="s">
        <v>61</v>
      </c>
      <c r="F19" s="12" t="s">
        <v>235</v>
      </c>
      <c r="G19" s="12" t="s">
        <v>236</v>
      </c>
      <c r="H19" s="12" t="s">
        <v>237</v>
      </c>
      <c r="I19" s="12" t="s">
        <v>238</v>
      </c>
    </row>
    <row r="20" ht="34" customHeight="1" spans="1:9" x14ac:dyDescent="0.25">
      <c r="A20" s="9" t="s">
        <v>239</v>
      </c>
      <c r="B20" s="10" t="s">
        <v>240</v>
      </c>
      <c r="C20" s="9" t="s">
        <v>185</v>
      </c>
      <c r="D20" s="11">
        <v>9.4</v>
      </c>
      <c r="E20" s="9" t="s">
        <v>45</v>
      </c>
      <c r="F20" s="9" t="s">
        <v>192</v>
      </c>
      <c r="G20" s="9" t="s">
        <v>193</v>
      </c>
      <c r="H20" s="9" t="s">
        <v>194</v>
      </c>
      <c r="I20" s="9" t="s">
        <v>195</v>
      </c>
    </row>
    <row r="21" ht="34" customHeight="1" spans="1:9" x14ac:dyDescent="0.25">
      <c r="A21" s="12" t="s">
        <v>241</v>
      </c>
      <c r="B21" s="13" t="s">
        <v>242</v>
      </c>
      <c r="C21" s="12" t="s">
        <v>185</v>
      </c>
      <c r="D21" s="14">
        <v>4.8</v>
      </c>
      <c r="E21" s="12" t="s">
        <v>45</v>
      </c>
      <c r="F21" s="12" t="s">
        <v>192</v>
      </c>
      <c r="G21" s="12" t="s">
        <v>193</v>
      </c>
      <c r="H21" s="12" t="s">
        <v>194</v>
      </c>
      <c r="I21" s="12" t="s">
        <v>195</v>
      </c>
    </row>
    <row r="22" ht="34" customHeight="1" spans="1:9" x14ac:dyDescent="0.25">
      <c r="A22" s="9" t="s">
        <v>96</v>
      </c>
      <c r="B22" s="10" t="s">
        <v>97</v>
      </c>
      <c r="C22" s="9" t="s">
        <v>58</v>
      </c>
      <c r="D22" s="11">
        <v>8.3</v>
      </c>
      <c r="E22" s="9" t="s">
        <v>45</v>
      </c>
      <c r="F22" s="9" t="s">
        <v>222</v>
      </c>
      <c r="G22" s="9" t="s">
        <v>223</v>
      </c>
      <c r="H22" s="9" t="s">
        <v>243</v>
      </c>
      <c r="I22" s="9" t="s">
        <v>225</v>
      </c>
    </row>
    <row r="23" ht="34" customHeight="1" spans="1:9" x14ac:dyDescent="0.25">
      <c r="A23" s="12" t="s">
        <v>100</v>
      </c>
      <c r="B23" s="13" t="s">
        <v>54</v>
      </c>
      <c r="C23" s="12" t="s">
        <v>58</v>
      </c>
      <c r="D23" s="14">
        <v>27</v>
      </c>
      <c r="E23" s="12" t="s">
        <v>61</v>
      </c>
      <c r="F23" s="12" t="s">
        <v>222</v>
      </c>
      <c r="G23" s="12" t="s">
        <v>223</v>
      </c>
      <c r="H23" s="12" t="s">
        <v>224</v>
      </c>
      <c r="I23" s="12" t="s">
        <v>225</v>
      </c>
    </row>
    <row r="24" ht="34" customHeight="1" spans="1:9" x14ac:dyDescent="0.25">
      <c r="A24" s="9" t="s">
        <v>101</v>
      </c>
      <c r="B24" s="10" t="s">
        <v>102</v>
      </c>
      <c r="C24" s="9" t="s">
        <v>58</v>
      </c>
      <c r="D24" s="11">
        <v>7</v>
      </c>
      <c r="E24" s="9" t="s">
        <v>61</v>
      </c>
      <c r="F24" s="9" t="s">
        <v>226</v>
      </c>
      <c r="G24" s="9" t="s">
        <v>227</v>
      </c>
      <c r="H24" s="9" t="s">
        <v>175</v>
      </c>
      <c r="I24" s="9" t="s">
        <v>228</v>
      </c>
    </row>
    <row r="25" ht="34" customHeight="1" spans="1:9" x14ac:dyDescent="0.25">
      <c r="A25" s="12" t="s">
        <v>244</v>
      </c>
      <c r="B25" s="13" t="s">
        <v>245</v>
      </c>
      <c r="C25" s="12" t="s">
        <v>185</v>
      </c>
      <c r="D25" s="14">
        <v>8.6</v>
      </c>
      <c r="E25" s="12" t="s">
        <v>45</v>
      </c>
      <c r="F25" s="12" t="s">
        <v>192</v>
      </c>
      <c r="G25" s="12" t="s">
        <v>193</v>
      </c>
      <c r="H25" s="12" t="s">
        <v>194</v>
      </c>
      <c r="I25" s="12" t="s">
        <v>195</v>
      </c>
    </row>
    <row r="26" ht="34" customHeight="1" spans="1:9" x14ac:dyDescent="0.25">
      <c r="A26" s="9" t="s">
        <v>246</v>
      </c>
      <c r="B26" s="10" t="s">
        <v>247</v>
      </c>
      <c r="C26" s="9" t="s">
        <v>185</v>
      </c>
      <c r="D26" s="11">
        <v>8</v>
      </c>
      <c r="E26" s="9" t="s">
        <v>45</v>
      </c>
      <c r="F26" s="9" t="s">
        <v>192</v>
      </c>
      <c r="G26" s="9" t="s">
        <v>193</v>
      </c>
      <c r="H26" s="9" t="s">
        <v>194</v>
      </c>
      <c r="I26" s="9" t="s">
        <v>195</v>
      </c>
    </row>
    <row r="27" ht="34" customHeight="1" spans="1:9" x14ac:dyDescent="0.25">
      <c r="A27" s="12" t="s">
        <v>108</v>
      </c>
      <c r="B27" s="13" t="s">
        <v>109</v>
      </c>
      <c r="C27" s="12" t="s">
        <v>58</v>
      </c>
      <c r="D27" s="14">
        <v>26</v>
      </c>
      <c r="E27" s="12" t="s">
        <v>61</v>
      </c>
      <c r="F27" s="12" t="s">
        <v>222</v>
      </c>
      <c r="G27" s="12" t="s">
        <v>223</v>
      </c>
      <c r="H27" s="12" t="s">
        <v>243</v>
      </c>
      <c r="I27" s="12" t="s">
        <v>225</v>
      </c>
    </row>
    <row r="28" ht="34" customHeight="1" spans="1:9" x14ac:dyDescent="0.25">
      <c r="A28" s="9" t="s">
        <v>110</v>
      </c>
      <c r="B28" s="10" t="s">
        <v>111</v>
      </c>
      <c r="C28" s="9" t="s">
        <v>58</v>
      </c>
      <c r="D28" s="11">
        <v>6</v>
      </c>
      <c r="E28" s="9" t="s">
        <v>61</v>
      </c>
      <c r="F28" s="9" t="s">
        <v>226</v>
      </c>
      <c r="G28" s="9" t="s">
        <v>227</v>
      </c>
      <c r="H28" s="9" t="s">
        <v>175</v>
      </c>
      <c r="I28" s="9" t="s">
        <v>228</v>
      </c>
    </row>
    <row r="29" ht="34" customHeight="1" spans="1:9" x14ac:dyDescent="0.25">
      <c r="A29" s="12" t="s">
        <v>248</v>
      </c>
      <c r="B29" s="13" t="s">
        <v>249</v>
      </c>
      <c r="C29" s="12" t="s">
        <v>185</v>
      </c>
      <c r="D29" s="14">
        <v>7.8</v>
      </c>
      <c r="E29" s="12" t="s">
        <v>45</v>
      </c>
      <c r="F29" s="12" t="s">
        <v>192</v>
      </c>
      <c r="G29" s="12" t="s">
        <v>193</v>
      </c>
      <c r="H29" s="12" t="s">
        <v>194</v>
      </c>
      <c r="I29" s="12" t="s">
        <v>195</v>
      </c>
    </row>
    <row r="30" ht="34" customHeight="1" spans="1:9" x14ac:dyDescent="0.25">
      <c r="A30" s="9" t="s">
        <v>250</v>
      </c>
      <c r="B30" s="10" t="s">
        <v>251</v>
      </c>
      <c r="C30" s="9" t="s">
        <v>185</v>
      </c>
      <c r="D30" s="11">
        <v>7.2</v>
      </c>
      <c r="E30" s="9" t="s">
        <v>45</v>
      </c>
      <c r="F30" s="9" t="s">
        <v>192</v>
      </c>
      <c r="G30" s="9" t="s">
        <v>193</v>
      </c>
      <c r="H30" s="9" t="s">
        <v>194</v>
      </c>
      <c r="I30" s="9" t="s">
        <v>195</v>
      </c>
    </row>
    <row r="31" ht="34" customHeight="1" spans="1:9" x14ac:dyDescent="0.25">
      <c r="A31" s="12" t="s">
        <v>118</v>
      </c>
      <c r="B31" s="13" t="s">
        <v>119</v>
      </c>
      <c r="C31" s="12" t="s">
        <v>58</v>
      </c>
      <c r="D31" s="14">
        <v>5</v>
      </c>
      <c r="E31" s="12" t="s">
        <v>61</v>
      </c>
      <c r="F31" s="12" t="s">
        <v>226</v>
      </c>
      <c r="G31" s="12" t="s">
        <v>227</v>
      </c>
      <c r="H31" s="12" t="s">
        <v>175</v>
      </c>
      <c r="I31" s="12" t="s">
        <v>228</v>
      </c>
    </row>
    <row r="32" ht="34" customHeight="1" spans="1:9" x14ac:dyDescent="0.25">
      <c r="A32" s="9" t="s">
        <v>154</v>
      </c>
      <c r="B32" s="10" t="s">
        <v>155</v>
      </c>
      <c r="C32" s="9" t="s">
        <v>129</v>
      </c>
      <c r="D32" s="11">
        <v>23</v>
      </c>
      <c r="E32" s="9" t="s">
        <v>61</v>
      </c>
      <c r="F32" s="9" t="s">
        <v>222</v>
      </c>
      <c r="G32" s="9" t="s">
        <v>223</v>
      </c>
      <c r="H32" s="9" t="s">
        <v>243</v>
      </c>
      <c r="I32" s="9" t="s">
        <v>225</v>
      </c>
    </row>
    <row r="33" ht="34" customHeight="1" spans="1:9" x14ac:dyDescent="0.25">
      <c r="A33" s="12" t="s">
        <v>252</v>
      </c>
      <c r="B33" s="13" t="s">
        <v>253</v>
      </c>
      <c r="C33" s="12" t="s">
        <v>185</v>
      </c>
      <c r="D33" s="14">
        <v>7</v>
      </c>
      <c r="E33" s="12" t="s">
        <v>45</v>
      </c>
      <c r="F33" s="12" t="s">
        <v>192</v>
      </c>
      <c r="G33" s="12" t="s">
        <v>193</v>
      </c>
      <c r="H33" s="12" t="s">
        <v>194</v>
      </c>
      <c r="I33" s="12" t="s">
        <v>195</v>
      </c>
    </row>
    <row r="34" ht="34" customHeight="1" spans="1:9" x14ac:dyDescent="0.25">
      <c r="A34" s="9" t="s">
        <v>254</v>
      </c>
      <c r="B34" s="10" t="s">
        <v>255</v>
      </c>
      <c r="C34" s="9" t="s">
        <v>185</v>
      </c>
      <c r="D34" s="11">
        <v>6.4</v>
      </c>
      <c r="E34" s="9" t="s">
        <v>45</v>
      </c>
      <c r="F34" s="9" t="s">
        <v>192</v>
      </c>
      <c r="G34" s="9" t="s">
        <v>193</v>
      </c>
      <c r="H34" s="9" t="s">
        <v>194</v>
      </c>
      <c r="I34" s="9" t="s">
        <v>195</v>
      </c>
    </row>
    <row r="35" ht="34" customHeight="1" spans="1:9" x14ac:dyDescent="0.25">
      <c r="A35" s="12" t="s">
        <v>122</v>
      </c>
      <c r="B35" s="13" t="s">
        <v>54</v>
      </c>
      <c r="C35" s="12" t="s">
        <v>58</v>
      </c>
      <c r="D35" s="14">
        <v>27</v>
      </c>
      <c r="E35" s="12" t="s">
        <v>61</v>
      </c>
      <c r="F35" s="12" t="s">
        <v>222</v>
      </c>
      <c r="G35" s="12" t="s">
        <v>223</v>
      </c>
      <c r="H35" s="12" t="s">
        <v>224</v>
      </c>
      <c r="I35" s="12" t="s">
        <v>225</v>
      </c>
    </row>
    <row r="36" ht="34" customHeight="1" spans="1:9" x14ac:dyDescent="0.25">
      <c r="A36" s="9" t="s">
        <v>125</v>
      </c>
      <c r="B36" s="10" t="s">
        <v>126</v>
      </c>
      <c r="C36" s="9" t="s">
        <v>58</v>
      </c>
      <c r="D36" s="11">
        <v>4</v>
      </c>
      <c r="E36" s="9" t="s">
        <v>61</v>
      </c>
      <c r="F36" s="9" t="s">
        <v>226</v>
      </c>
      <c r="G36" s="9" t="s">
        <v>227</v>
      </c>
      <c r="H36" s="9" t="s">
        <v>175</v>
      </c>
      <c r="I36" s="9" t="s">
        <v>228</v>
      </c>
    </row>
  </sheetData>
  <autoFilter ref="A1:I36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18" customWidth="1"/>
    <col min="3" max="3" width="32" customWidth="1"/>
    <col min="4" max="5" width="12" customWidth="1"/>
    <col min="6" max="6" width="17" customWidth="1"/>
    <col min="7" max="7" width="28" customWidth="1"/>
    <col min="8" max="8" width="65" customWidth="1"/>
    <col min="9" max="9" width="29" customWidth="1"/>
  </cols>
  <sheetData>
    <row r="1" ht="26" customHeight="1" spans="1:9" x14ac:dyDescent="0.25">
      <c r="A1" s="3" t="s">
        <v>34</v>
      </c>
      <c r="B1" s="3" t="s">
        <v>35</v>
      </c>
      <c r="C1" s="3" t="s">
        <v>36</v>
      </c>
      <c r="D1" s="3" t="s">
        <v>39</v>
      </c>
      <c r="E1" s="3" t="s">
        <v>40</v>
      </c>
      <c r="F1" s="3" t="s">
        <v>179</v>
      </c>
      <c r="G1" s="3" t="s">
        <v>180</v>
      </c>
      <c r="H1" s="3" t="s">
        <v>181</v>
      </c>
      <c r="I1" s="3" t="s">
        <v>182</v>
      </c>
    </row>
    <row r="2" ht="34" customHeight="1" spans="1:9" x14ac:dyDescent="0.25">
      <c r="A2" s="9" t="s">
        <v>217</v>
      </c>
      <c r="B2" s="10" t="s">
        <v>218</v>
      </c>
      <c r="C2" s="9" t="s">
        <v>185</v>
      </c>
      <c r="D2" s="11">
        <v>4.1</v>
      </c>
      <c r="E2" s="9" t="s">
        <v>45</v>
      </c>
      <c r="F2" s="9" t="s">
        <v>219</v>
      </c>
      <c r="G2" s="9" t="s">
        <v>220</v>
      </c>
      <c r="H2" s="9" t="s">
        <v>221</v>
      </c>
      <c r="I2" s="9" t="s">
        <v>195</v>
      </c>
    </row>
    <row r="3" ht="34" customHeight="1" spans="1:9" x14ac:dyDescent="0.25">
      <c r="A3" s="12" t="s">
        <v>53</v>
      </c>
      <c r="B3" s="13" t="s">
        <v>54</v>
      </c>
      <c r="C3" s="12" t="s">
        <v>44</v>
      </c>
      <c r="D3" s="14">
        <v>9.4</v>
      </c>
      <c r="E3" s="12" t="s">
        <v>45</v>
      </c>
      <c r="F3" s="12" t="s">
        <v>222</v>
      </c>
      <c r="G3" s="12" t="s">
        <v>223</v>
      </c>
      <c r="H3" s="12" t="s">
        <v>224</v>
      </c>
      <c r="I3" s="12" t="s">
        <v>225</v>
      </c>
    </row>
    <row r="4" ht="34" customHeight="1" spans="1:9" x14ac:dyDescent="0.25">
      <c r="A4" s="9" t="s">
        <v>89</v>
      </c>
      <c r="B4" s="10" t="s">
        <v>4</v>
      </c>
      <c r="C4" s="9" t="s">
        <v>58</v>
      </c>
      <c r="D4" s="11">
        <v>6</v>
      </c>
      <c r="E4" s="9" t="s">
        <v>45</v>
      </c>
      <c r="F4" s="9" t="s">
        <v>222</v>
      </c>
      <c r="G4" s="9" t="s">
        <v>229</v>
      </c>
      <c r="H4" s="9" t="s">
        <v>230</v>
      </c>
      <c r="I4" s="9" t="s">
        <v>225</v>
      </c>
    </row>
    <row r="5" ht="34" customHeight="1" spans="1:9" x14ac:dyDescent="0.25">
      <c r="A5" s="12" t="s">
        <v>233</v>
      </c>
      <c r="B5" s="13" t="s">
        <v>234</v>
      </c>
      <c r="C5" s="12" t="s">
        <v>58</v>
      </c>
      <c r="D5" s="14">
        <v>0.25</v>
      </c>
      <c r="E5" s="12" t="s">
        <v>61</v>
      </c>
      <c r="F5" s="12" t="s">
        <v>235</v>
      </c>
      <c r="G5" s="12" t="s">
        <v>236</v>
      </c>
      <c r="H5" s="12" t="s">
        <v>237</v>
      </c>
      <c r="I5" s="12" t="s">
        <v>238</v>
      </c>
    </row>
    <row r="6" ht="34" customHeight="1" spans="1:9" x14ac:dyDescent="0.25">
      <c r="A6" s="9" t="s">
        <v>96</v>
      </c>
      <c r="B6" s="10" t="s">
        <v>97</v>
      </c>
      <c r="C6" s="9" t="s">
        <v>58</v>
      </c>
      <c r="D6" s="11">
        <v>8.3</v>
      </c>
      <c r="E6" s="9" t="s">
        <v>45</v>
      </c>
      <c r="F6" s="9" t="s">
        <v>222</v>
      </c>
      <c r="G6" s="9" t="s">
        <v>223</v>
      </c>
      <c r="H6" s="9" t="s">
        <v>243</v>
      </c>
      <c r="I6" s="9" t="s">
        <v>225</v>
      </c>
    </row>
    <row r="7" ht="34" customHeight="1" spans="1:9" x14ac:dyDescent="0.25">
      <c r="A7" s="12" t="s">
        <v>100</v>
      </c>
      <c r="B7" s="13" t="s">
        <v>54</v>
      </c>
      <c r="C7" s="12" t="s">
        <v>58</v>
      </c>
      <c r="D7" s="14">
        <v>27</v>
      </c>
      <c r="E7" s="12" t="s">
        <v>61</v>
      </c>
      <c r="F7" s="12" t="s">
        <v>222</v>
      </c>
      <c r="G7" s="12" t="s">
        <v>223</v>
      </c>
      <c r="H7" s="12" t="s">
        <v>224</v>
      </c>
      <c r="I7" s="12" t="s">
        <v>225</v>
      </c>
    </row>
    <row r="8" ht="34" customHeight="1" spans="1:9" x14ac:dyDescent="0.25">
      <c r="A8" s="9" t="s">
        <v>108</v>
      </c>
      <c r="B8" s="10" t="s">
        <v>109</v>
      </c>
      <c r="C8" s="9" t="s">
        <v>58</v>
      </c>
      <c r="D8" s="11">
        <v>26</v>
      </c>
      <c r="E8" s="9" t="s">
        <v>61</v>
      </c>
      <c r="F8" s="9" t="s">
        <v>222</v>
      </c>
      <c r="G8" s="9" t="s">
        <v>223</v>
      </c>
      <c r="H8" s="9" t="s">
        <v>243</v>
      </c>
      <c r="I8" s="9" t="s">
        <v>225</v>
      </c>
    </row>
    <row r="9" ht="34" customHeight="1" spans="1:9" x14ac:dyDescent="0.25">
      <c r="A9" s="12" t="s">
        <v>154</v>
      </c>
      <c r="B9" s="13" t="s">
        <v>155</v>
      </c>
      <c r="C9" s="12" t="s">
        <v>129</v>
      </c>
      <c r="D9" s="14">
        <v>23</v>
      </c>
      <c r="E9" s="12" t="s">
        <v>61</v>
      </c>
      <c r="F9" s="12" t="s">
        <v>222</v>
      </c>
      <c r="G9" s="12" t="s">
        <v>223</v>
      </c>
      <c r="H9" s="12" t="s">
        <v>243</v>
      </c>
      <c r="I9" s="12" t="s">
        <v>225</v>
      </c>
    </row>
    <row r="10" ht="34" customHeight="1" spans="1:9" x14ac:dyDescent="0.25">
      <c r="A10" s="9" t="s">
        <v>122</v>
      </c>
      <c r="B10" s="10" t="s">
        <v>54</v>
      </c>
      <c r="C10" s="9" t="s">
        <v>58</v>
      </c>
      <c r="D10" s="11">
        <v>27</v>
      </c>
      <c r="E10" s="9" t="s">
        <v>61</v>
      </c>
      <c r="F10" s="9" t="s">
        <v>222</v>
      </c>
      <c r="G10" s="9" t="s">
        <v>223</v>
      </c>
      <c r="H10" s="9" t="s">
        <v>224</v>
      </c>
      <c r="I10" s="9" t="s">
        <v>225</v>
      </c>
    </row>
  </sheetData>
  <autoFilter ref="A1:I10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18" customWidth="1"/>
    <col min="3" max="3" width="32" customWidth="1"/>
    <col min="4" max="5" width="12" customWidth="1"/>
    <col min="6" max="6" width="17" customWidth="1"/>
    <col min="7" max="7" width="28" customWidth="1"/>
    <col min="8" max="8" width="65" customWidth="1"/>
    <col min="9" max="9" width="29" customWidth="1"/>
  </cols>
  <sheetData>
    <row r="1" ht="26" customHeight="1" spans="1:9" x14ac:dyDescent="0.25">
      <c r="A1" s="3" t="s">
        <v>34</v>
      </c>
      <c r="B1" s="3" t="s">
        <v>35</v>
      </c>
      <c r="C1" s="3" t="s">
        <v>36</v>
      </c>
      <c r="D1" s="3" t="s">
        <v>39</v>
      </c>
      <c r="E1" s="3" t="s">
        <v>40</v>
      </c>
      <c r="F1" s="3" t="s">
        <v>179</v>
      </c>
      <c r="G1" s="3" t="s">
        <v>180</v>
      </c>
      <c r="H1" s="3" t="s">
        <v>181</v>
      </c>
      <c r="I1" s="3" t="s">
        <v>182</v>
      </c>
    </row>
    <row r="2" ht="34" customHeight="1" spans="1:9" x14ac:dyDescent="0.25">
      <c r="A2" s="9" t="s">
        <v>190</v>
      </c>
      <c r="B2" s="10" t="s">
        <v>191</v>
      </c>
      <c r="C2" s="9" t="s">
        <v>185</v>
      </c>
      <c r="D2" s="11">
        <v>12.5</v>
      </c>
      <c r="E2" s="9" t="s">
        <v>45</v>
      </c>
      <c r="F2" s="9" t="s">
        <v>192</v>
      </c>
      <c r="G2" s="9" t="s">
        <v>193</v>
      </c>
      <c r="H2" s="9" t="s">
        <v>194</v>
      </c>
      <c r="I2" s="9" t="s">
        <v>195</v>
      </c>
    </row>
    <row r="3" ht="34" customHeight="1" spans="1:9" x14ac:dyDescent="0.25">
      <c r="A3" s="12" t="s">
        <v>196</v>
      </c>
      <c r="B3" s="13" t="s">
        <v>197</v>
      </c>
      <c r="C3" s="12" t="s">
        <v>185</v>
      </c>
      <c r="D3" s="14">
        <v>8.4</v>
      </c>
      <c r="E3" s="12" t="s">
        <v>45</v>
      </c>
      <c r="F3" s="12" t="s">
        <v>192</v>
      </c>
      <c r="G3" s="12" t="s">
        <v>193</v>
      </c>
      <c r="H3" s="12" t="s">
        <v>194</v>
      </c>
      <c r="I3" s="12" t="s">
        <v>195</v>
      </c>
    </row>
    <row r="4" ht="34" customHeight="1" spans="1:9" x14ac:dyDescent="0.25">
      <c r="A4" s="9" t="s">
        <v>198</v>
      </c>
      <c r="B4" s="10" t="s">
        <v>199</v>
      </c>
      <c r="C4" s="9" t="s">
        <v>185</v>
      </c>
      <c r="D4" s="11">
        <v>5.2</v>
      </c>
      <c r="E4" s="9" t="s">
        <v>45</v>
      </c>
      <c r="F4" s="9" t="s">
        <v>192</v>
      </c>
      <c r="G4" s="9" t="s">
        <v>193</v>
      </c>
      <c r="H4" s="9" t="s">
        <v>194</v>
      </c>
      <c r="I4" s="9" t="s">
        <v>195</v>
      </c>
    </row>
    <row r="5" ht="34" customHeight="1" spans="1:9" x14ac:dyDescent="0.25">
      <c r="A5" s="12" t="s">
        <v>200</v>
      </c>
      <c r="B5" s="13" t="s">
        <v>201</v>
      </c>
      <c r="C5" s="12" t="s">
        <v>185</v>
      </c>
      <c r="D5" s="14">
        <v>9.1</v>
      </c>
      <c r="E5" s="12" t="s">
        <v>45</v>
      </c>
      <c r="F5" s="12" t="s">
        <v>192</v>
      </c>
      <c r="G5" s="12" t="s">
        <v>193</v>
      </c>
      <c r="H5" s="12" t="s">
        <v>194</v>
      </c>
      <c r="I5" s="12" t="s">
        <v>195</v>
      </c>
    </row>
    <row r="6" ht="34" customHeight="1" spans="1:9" x14ac:dyDescent="0.25">
      <c r="A6" s="9" t="s">
        <v>202</v>
      </c>
      <c r="B6" s="10" t="s">
        <v>203</v>
      </c>
      <c r="C6" s="9" t="s">
        <v>185</v>
      </c>
      <c r="D6" s="11">
        <v>6.8</v>
      </c>
      <c r="E6" s="9" t="s">
        <v>45</v>
      </c>
      <c r="F6" s="9" t="s">
        <v>192</v>
      </c>
      <c r="G6" s="9" t="s">
        <v>204</v>
      </c>
      <c r="H6" s="9" t="s">
        <v>205</v>
      </c>
      <c r="I6" s="9" t="s">
        <v>206</v>
      </c>
    </row>
    <row r="7" ht="34" customHeight="1" spans="1:9" x14ac:dyDescent="0.25">
      <c r="A7" s="12" t="s">
        <v>207</v>
      </c>
      <c r="B7" s="13" t="s">
        <v>208</v>
      </c>
      <c r="C7" s="12" t="s">
        <v>185</v>
      </c>
      <c r="D7" s="14">
        <v>4.3</v>
      </c>
      <c r="E7" s="12" t="s">
        <v>45</v>
      </c>
      <c r="F7" s="12" t="s">
        <v>192</v>
      </c>
      <c r="G7" s="12" t="s">
        <v>193</v>
      </c>
      <c r="H7" s="12" t="s">
        <v>194</v>
      </c>
      <c r="I7" s="12" t="s">
        <v>195</v>
      </c>
    </row>
    <row r="8" ht="34" customHeight="1" spans="1:9" x14ac:dyDescent="0.25">
      <c r="A8" s="9" t="s">
        <v>183</v>
      </c>
      <c r="B8" s="10" t="s">
        <v>184</v>
      </c>
      <c r="C8" s="9" t="s">
        <v>185</v>
      </c>
      <c r="D8" s="11">
        <v>0.35</v>
      </c>
      <c r="E8" s="9" t="s">
        <v>45</v>
      </c>
      <c r="F8" s="9" t="s">
        <v>186</v>
      </c>
      <c r="G8" s="9" t="s">
        <v>187</v>
      </c>
      <c r="H8" s="9" t="s">
        <v>188</v>
      </c>
      <c r="I8" s="9" t="s">
        <v>189</v>
      </c>
    </row>
    <row r="9" ht="34" customHeight="1" spans="1:9" x14ac:dyDescent="0.25">
      <c r="A9" s="12" t="s">
        <v>209</v>
      </c>
      <c r="B9" s="13" t="s">
        <v>210</v>
      </c>
      <c r="C9" s="12" t="s">
        <v>185</v>
      </c>
      <c r="D9" s="14">
        <v>3.7</v>
      </c>
      <c r="E9" s="12" t="s">
        <v>45</v>
      </c>
      <c r="F9" s="12" t="s">
        <v>192</v>
      </c>
      <c r="G9" s="12" t="s">
        <v>193</v>
      </c>
      <c r="H9" s="12" t="s">
        <v>194</v>
      </c>
      <c r="I9" s="12" t="s">
        <v>195</v>
      </c>
    </row>
    <row r="10" ht="34" customHeight="1" spans="1:9" x14ac:dyDescent="0.25">
      <c r="A10" s="9" t="s">
        <v>211</v>
      </c>
      <c r="B10" s="10" t="s">
        <v>212</v>
      </c>
      <c r="C10" s="9" t="s">
        <v>185</v>
      </c>
      <c r="D10" s="11">
        <v>5</v>
      </c>
      <c r="E10" s="9" t="s">
        <v>45</v>
      </c>
      <c r="F10" s="9" t="s">
        <v>192</v>
      </c>
      <c r="G10" s="9" t="s">
        <v>204</v>
      </c>
      <c r="H10" s="9" t="s">
        <v>205</v>
      </c>
      <c r="I10" s="9" t="s">
        <v>206</v>
      </c>
    </row>
    <row r="11" ht="34" customHeight="1" spans="1:9" x14ac:dyDescent="0.25">
      <c r="A11" s="12" t="s">
        <v>213</v>
      </c>
      <c r="B11" s="13" t="s">
        <v>214</v>
      </c>
      <c r="C11" s="12" t="s">
        <v>185</v>
      </c>
      <c r="D11" s="14">
        <v>2.8</v>
      </c>
      <c r="E11" s="12" t="s">
        <v>45</v>
      </c>
      <c r="F11" s="12" t="s">
        <v>192</v>
      </c>
      <c r="G11" s="12" t="s">
        <v>193</v>
      </c>
      <c r="H11" s="12" t="s">
        <v>194</v>
      </c>
      <c r="I11" s="12" t="s">
        <v>195</v>
      </c>
    </row>
    <row r="12" ht="34" customHeight="1" spans="1:9" x14ac:dyDescent="0.25">
      <c r="A12" s="9" t="s">
        <v>215</v>
      </c>
      <c r="B12" s="10" t="s">
        <v>216</v>
      </c>
      <c r="C12" s="9" t="s">
        <v>185</v>
      </c>
      <c r="D12" s="11">
        <v>6.4</v>
      </c>
      <c r="E12" s="9" t="s">
        <v>45</v>
      </c>
      <c r="F12" s="9" t="s">
        <v>192</v>
      </c>
      <c r="G12" s="9" t="s">
        <v>193</v>
      </c>
      <c r="H12" s="9" t="s">
        <v>194</v>
      </c>
      <c r="I12" s="9" t="s">
        <v>195</v>
      </c>
    </row>
    <row r="13" ht="34" customHeight="1" spans="1:9" x14ac:dyDescent="0.25">
      <c r="A13" s="12" t="s">
        <v>217</v>
      </c>
      <c r="B13" s="13" t="s">
        <v>218</v>
      </c>
      <c r="C13" s="12" t="s">
        <v>185</v>
      </c>
      <c r="D13" s="14">
        <v>4.1</v>
      </c>
      <c r="E13" s="12" t="s">
        <v>45</v>
      </c>
      <c r="F13" s="12" t="s">
        <v>219</v>
      </c>
      <c r="G13" s="12" t="s">
        <v>220</v>
      </c>
      <c r="H13" s="12" t="s">
        <v>221</v>
      </c>
      <c r="I13" s="12" t="s">
        <v>195</v>
      </c>
    </row>
    <row r="14" ht="34" customHeight="1" spans="1:9" x14ac:dyDescent="0.25">
      <c r="A14" s="9" t="s">
        <v>231</v>
      </c>
      <c r="B14" s="10" t="s">
        <v>232</v>
      </c>
      <c r="C14" s="9" t="s">
        <v>185</v>
      </c>
      <c r="D14" s="11">
        <v>5.6</v>
      </c>
      <c r="E14" s="9" t="s">
        <v>45</v>
      </c>
      <c r="F14" s="9" t="s">
        <v>192</v>
      </c>
      <c r="G14" s="9" t="s">
        <v>193</v>
      </c>
      <c r="H14" s="9" t="s">
        <v>194</v>
      </c>
      <c r="I14" s="9" t="s">
        <v>195</v>
      </c>
    </row>
    <row r="15" ht="34" customHeight="1" spans="1:9" x14ac:dyDescent="0.25">
      <c r="A15" s="12" t="s">
        <v>239</v>
      </c>
      <c r="B15" s="13" t="s">
        <v>240</v>
      </c>
      <c r="C15" s="12" t="s">
        <v>185</v>
      </c>
      <c r="D15" s="14">
        <v>9.4</v>
      </c>
      <c r="E15" s="12" t="s">
        <v>45</v>
      </c>
      <c r="F15" s="12" t="s">
        <v>192</v>
      </c>
      <c r="G15" s="12" t="s">
        <v>193</v>
      </c>
      <c r="H15" s="12" t="s">
        <v>194</v>
      </c>
      <c r="I15" s="12" t="s">
        <v>195</v>
      </c>
    </row>
    <row r="16" ht="34" customHeight="1" spans="1:9" x14ac:dyDescent="0.25">
      <c r="A16" s="9" t="s">
        <v>241</v>
      </c>
      <c r="B16" s="10" t="s">
        <v>242</v>
      </c>
      <c r="C16" s="9" t="s">
        <v>185</v>
      </c>
      <c r="D16" s="11">
        <v>4.8</v>
      </c>
      <c r="E16" s="9" t="s">
        <v>45</v>
      </c>
      <c r="F16" s="9" t="s">
        <v>192</v>
      </c>
      <c r="G16" s="9" t="s">
        <v>193</v>
      </c>
      <c r="H16" s="9" t="s">
        <v>194</v>
      </c>
      <c r="I16" s="9" t="s">
        <v>195</v>
      </c>
    </row>
    <row r="17" ht="34" customHeight="1" spans="1:9" x14ac:dyDescent="0.25">
      <c r="A17" s="12" t="s">
        <v>244</v>
      </c>
      <c r="B17" s="13" t="s">
        <v>245</v>
      </c>
      <c r="C17" s="12" t="s">
        <v>185</v>
      </c>
      <c r="D17" s="14">
        <v>8.6</v>
      </c>
      <c r="E17" s="12" t="s">
        <v>45</v>
      </c>
      <c r="F17" s="12" t="s">
        <v>192</v>
      </c>
      <c r="G17" s="12" t="s">
        <v>193</v>
      </c>
      <c r="H17" s="12" t="s">
        <v>194</v>
      </c>
      <c r="I17" s="12" t="s">
        <v>195</v>
      </c>
    </row>
    <row r="18" ht="34" customHeight="1" spans="1:9" x14ac:dyDescent="0.25">
      <c r="A18" s="9" t="s">
        <v>246</v>
      </c>
      <c r="B18" s="10" t="s">
        <v>247</v>
      </c>
      <c r="C18" s="9" t="s">
        <v>185</v>
      </c>
      <c r="D18" s="11">
        <v>8</v>
      </c>
      <c r="E18" s="9" t="s">
        <v>45</v>
      </c>
      <c r="F18" s="9" t="s">
        <v>192</v>
      </c>
      <c r="G18" s="9" t="s">
        <v>193</v>
      </c>
      <c r="H18" s="9" t="s">
        <v>194</v>
      </c>
      <c r="I18" s="9" t="s">
        <v>195</v>
      </c>
    </row>
    <row r="19" ht="34" customHeight="1" spans="1:9" x14ac:dyDescent="0.25">
      <c r="A19" s="12" t="s">
        <v>248</v>
      </c>
      <c r="B19" s="13" t="s">
        <v>249</v>
      </c>
      <c r="C19" s="12" t="s">
        <v>185</v>
      </c>
      <c r="D19" s="14">
        <v>7.8</v>
      </c>
      <c r="E19" s="12" t="s">
        <v>45</v>
      </c>
      <c r="F19" s="12" t="s">
        <v>192</v>
      </c>
      <c r="G19" s="12" t="s">
        <v>193</v>
      </c>
      <c r="H19" s="12" t="s">
        <v>194</v>
      </c>
      <c r="I19" s="12" t="s">
        <v>195</v>
      </c>
    </row>
    <row r="20" ht="34" customHeight="1" spans="1:9" x14ac:dyDescent="0.25">
      <c r="A20" s="9" t="s">
        <v>250</v>
      </c>
      <c r="B20" s="10" t="s">
        <v>251</v>
      </c>
      <c r="C20" s="9" t="s">
        <v>185</v>
      </c>
      <c r="D20" s="11">
        <v>7.2</v>
      </c>
      <c r="E20" s="9" t="s">
        <v>45</v>
      </c>
      <c r="F20" s="9" t="s">
        <v>192</v>
      </c>
      <c r="G20" s="9" t="s">
        <v>193</v>
      </c>
      <c r="H20" s="9" t="s">
        <v>194</v>
      </c>
      <c r="I20" s="9" t="s">
        <v>195</v>
      </c>
    </row>
    <row r="21" ht="34" customHeight="1" spans="1:9" x14ac:dyDescent="0.25">
      <c r="A21" s="12" t="s">
        <v>252</v>
      </c>
      <c r="B21" s="13" t="s">
        <v>253</v>
      </c>
      <c r="C21" s="12" t="s">
        <v>185</v>
      </c>
      <c r="D21" s="14">
        <v>7</v>
      </c>
      <c r="E21" s="12" t="s">
        <v>45</v>
      </c>
      <c r="F21" s="12" t="s">
        <v>192</v>
      </c>
      <c r="G21" s="12" t="s">
        <v>193</v>
      </c>
      <c r="H21" s="12" t="s">
        <v>194</v>
      </c>
      <c r="I21" s="12" t="s">
        <v>195</v>
      </c>
    </row>
    <row r="22" ht="34" customHeight="1" spans="1:9" x14ac:dyDescent="0.25">
      <c r="A22" s="9" t="s">
        <v>254</v>
      </c>
      <c r="B22" s="10" t="s">
        <v>255</v>
      </c>
      <c r="C22" s="9" t="s">
        <v>185</v>
      </c>
      <c r="D22" s="11">
        <v>6.4</v>
      </c>
      <c r="E22" s="9" t="s">
        <v>45</v>
      </c>
      <c r="F22" s="9" t="s">
        <v>192</v>
      </c>
      <c r="G22" s="9" t="s">
        <v>193</v>
      </c>
      <c r="H22" s="9" t="s">
        <v>194</v>
      </c>
      <c r="I22" s="9" t="s">
        <v>195</v>
      </c>
    </row>
  </sheetData>
  <autoFilter ref="A1:I2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Сводка</vt:lpstr>
      <vt:lpstr>План 19-40</vt:lpstr>
      <vt:lpstr>Цена скорректирована</vt:lpstr>
      <vt:lpstr>Бракераж</vt:lpstr>
      <vt:lpstr>Исключения</vt:lpstr>
      <vt:lpstr>Проверка целевых</vt:lpstr>
      <vt:lpstr>Срок годности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Вечерняя уценка · локальный инструмент</dc:creator>
  <dc:title/>
  <dc:subject/>
  <dc:description/>
  <cp:keywords/>
  <cp:category/>
  <cp:lastModifiedBy>Unknown</cp:lastModifiedBy>
  <dcterms:created xsi:type="dcterms:W3CDTF">2026-10-06T15:43:37Z</dcterms:created>
  <dcterms:modified xsi:type="dcterms:W3CDTF">2026-10-06T15:43:37Z</dcterms:modified>
</cp:coreProperties>
</file>