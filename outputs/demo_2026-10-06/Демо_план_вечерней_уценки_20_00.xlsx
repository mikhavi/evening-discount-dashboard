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План 19-40" state="visible" r:id="rId5"/>
    <sheet sheetId="3" name="Цена скорректирована" state="visible" r:id="rId6"/>
    <sheet sheetId="4" name="Бракераж" state="visible" r:id="rId7"/>
    <sheet sheetId="5" name="Исключения" state="visible" r:id="rId8"/>
    <sheet sheetId="6" name="Проверка целевых" state="visible" r:id="rId9"/>
    <sheet sheetId="7" name="Срок годности" state="visible" r:id="rId10"/>
  </sheets>
  <calcPr calcId="171027" fullCalcOnLoad="1"/>
</workbook>
</file>

<file path=xl/sharedStrings.xml><?xml version="1.0" encoding="utf-8"?>
<sst xmlns="http://schemas.openxmlformats.org/spreadsheetml/2006/main" count="296" uniqueCount="128">
  <si>
    <t>ИТОГИ ВЕЧЕРНЕЙ УЦЕНКИ</t>
  </si>
  <si>
    <t>Источник: Демо_выгрузка_остатков_19_30.xlsx · Срез 19:30 · Акция 20:00–23:00</t>
  </si>
  <si>
    <t>Показатель</t>
  </si>
  <si>
    <t>Значение</t>
  </si>
  <si>
    <t/>
  </si>
  <si>
    <t>Метод расчёта</t>
  </si>
  <si>
    <t>Позиций в плане уценки</t>
  </si>
  <si>
    <t>Скидка</t>
  </si>
  <si>
    <t>30% от розничной цены</t>
  </si>
  <si>
    <t>Позиций в целевых категориях</t>
  </si>
  <si>
    <t>Нижняя цена</t>
  </si>
  <si>
    <t>Себестоимость × 1,05</t>
  </si>
  <si>
    <t>Стоимость акционного остатка по старой цене, тг</t>
  </si>
  <si>
    <t>Округление</t>
  </si>
  <si>
    <t>Вниз до 5 тг; ниже порога — вверх до 5 тг</t>
  </si>
  <si>
    <t>Потенциал выручки по новой цене, тг</t>
  </si>
  <si>
    <t>Порог бракеража</t>
  </si>
  <si>
    <t>кг ≤ 0,5; шт./порц. ≤ 1 — бракераж</t>
  </si>
  <si>
    <t>Исключений и рисков</t>
  </si>
  <si>
    <t>Проверка срока годности</t>
  </si>
  <si>
    <t>Срок должен быть действителен до закрытия в 23:00</t>
  </si>
  <si>
    <t>Позиций для сверки штрихкода в плане</t>
  </si>
  <si>
    <t>Важное допущение</t>
  </si>
  <si>
    <t>Потенциал рассчитан при продаже всего остатка</t>
  </si>
  <si>
    <t>Цен MARGIN_ALERT утверждено</t>
  </si>
  <si>
    <t>Режим MARGIN_ALERT</t>
  </si>
  <si>
    <t>Цена ограничивается автоматически</t>
  </si>
  <si>
    <t>Цен готово для кассового файла</t>
  </si>
  <si>
    <t>Применение в кассе</t>
  </si>
  <si>
    <t>Передать итоговые цены на 20:00 без повторных −30%</t>
  </si>
  <si>
    <t>Проверка остатка в шт</t>
  </si>
  <si>
    <t>Только целые</t>
  </si>
  <si>
    <t>Источник данных</t>
  </si>
  <si>
    <t>Демо_выгрузка_остатков_19_30.xlsx</t>
  </si>
  <si>
    <t>Наименование</t>
  </si>
  <si>
    <t>Штрихкод</t>
  </si>
  <si>
    <t>Категория</t>
  </si>
  <si>
    <t>Старая цена, тг</t>
  </si>
  <si>
    <t>Новая цена, тг</t>
  </si>
  <si>
    <t>Остаток</t>
  </si>
  <si>
    <t>Ед. изм.</t>
  </si>
  <si>
    <t>Отметка</t>
  </si>
  <si>
    <t>Салат Оливье с курицей</t>
  </si>
  <si>
    <t>4870002000010</t>
  </si>
  <si>
    <t>Кулинария: Салаты заправленные</t>
  </si>
  <si>
    <t>кг</t>
  </si>
  <si>
    <t>Готово к наклейке</t>
  </si>
  <si>
    <t>Салат Цезарь с курицей</t>
  </si>
  <si>
    <t>4870002000027</t>
  </si>
  <si>
    <t>Салат Греческий без заправки</t>
  </si>
  <si>
    <t>4870002000065</t>
  </si>
  <si>
    <t>Кулинария: Салаты незаправленные</t>
  </si>
  <si>
    <t>Салат Витаминный из капусты</t>
  </si>
  <si>
    <t>4870002000072</t>
  </si>
  <si>
    <t>Винегрет без заправки</t>
  </si>
  <si>
    <t>4870002000096</t>
  </si>
  <si>
    <t>Плов с говядиной</t>
  </si>
  <si>
    <t>4870002000102</t>
  </si>
  <si>
    <t>Кулинария: Горячие блюда</t>
  </si>
  <si>
    <t>Котлета по-киевски</t>
  </si>
  <si>
    <t>4870002000119</t>
  </si>
  <si>
    <t>шт</t>
  </si>
  <si>
    <t>Стейк из семги с овощами</t>
  </si>
  <si>
    <t>4870002000126</t>
  </si>
  <si>
    <t>порц</t>
  </si>
  <si>
    <t>Готово к наклейке; MARGIN_ALERT · итоговая цена 2 940 ₸; передать на кассу</t>
  </si>
  <si>
    <t>Утка запечённая с яблоками</t>
  </si>
  <si>
    <t>4870002000133</t>
  </si>
  <si>
    <t>Готово к наклейке; MARGIN_ALERT · итоговая цена 4 410 ₸; передать на кассу</t>
  </si>
  <si>
    <t>Куриный суп с лапшой</t>
  </si>
  <si>
    <t>4870002000157</t>
  </si>
  <si>
    <t>Гречка с овощами</t>
  </si>
  <si>
    <t>4870002000164</t>
  </si>
  <si>
    <t>Самса с говядиной</t>
  </si>
  <si>
    <t>4870002000171</t>
  </si>
  <si>
    <t>Кулинария: Выпечка и сдоба</t>
  </si>
  <si>
    <t>Чебурек с говядиной</t>
  </si>
  <si>
    <t>4870002000188</t>
  </si>
  <si>
    <t>Пирожок с картофелем</t>
  </si>
  <si>
    <t>4870002000195</t>
  </si>
  <si>
    <t>Булочка с корицей</t>
  </si>
  <si>
    <t>4870002000201</t>
  </si>
  <si>
    <t>Код 1С</t>
  </si>
  <si>
    <t>Цена −30%, тг</t>
  </si>
  <si>
    <t>Себестоимость, тг</t>
  </si>
  <si>
    <t>Порог +5%, тг</t>
  </si>
  <si>
    <t>Фактическая скидка</t>
  </si>
  <si>
    <t>Проверка штрихкода</t>
  </si>
  <si>
    <t>Причина корректировки</t>
  </si>
  <si>
    <t>Решение</t>
  </si>
  <si>
    <t>Утвердил</t>
  </si>
  <si>
    <t>Дата и время</t>
  </si>
  <si>
    <t>20303</t>
  </si>
  <si>
    <t>Без замечаний</t>
  </si>
  <si>
    <t>Скидка −30% нарушает минимальную маржу. Цена 2 940 ₸ ограничена порогом себестоимости +5%; итоговую цену нужно передать на кассу без повторных −30%.</t>
  </si>
  <si>
    <t>Не требуется</t>
  </si>
  <si>
    <t>20304</t>
  </si>
  <si>
    <t>Скидка −30% нарушает минимальную маржу. Цена 4 410 ₸ ограничена порогом себестоимости +5%; итоговую цену нужно передать на кассу без повторных −30%.</t>
  </si>
  <si>
    <t>Статус</t>
  </si>
  <si>
    <t>Код риска</t>
  </si>
  <si>
    <t>Причина</t>
  </si>
  <si>
    <t>Рекомендуемое действие</t>
  </si>
  <si>
    <t>Салат Столичный с курицей</t>
  </si>
  <si>
    <t>4870002000058</t>
  </si>
  <si>
    <t>Бракераж</t>
  </si>
  <si>
    <t>LOW_STOCK</t>
  </si>
  <si>
    <t>Остаток 0,35 кг подпадает под порог бракеража (≤ 0,5 кг) — оформить акт и списание.</t>
  </si>
  <si>
    <t>Акт бракеража</t>
  </si>
  <si>
    <t>Овощной салат без заправки</t>
  </si>
  <si>
    <t>4870002000089</t>
  </si>
  <si>
    <t>Остаток 0,5 кг подпадает под порог бракеража (≤ 0,5 кг) — оформить акт и списание.</t>
  </si>
  <si>
    <t>Мясная запеканка с овощами</t>
  </si>
  <si>
    <t>4870002000140</t>
  </si>
  <si>
    <t>Остаток 1 шт подпадает под порог бракеража (≤ 1 шт/порц) — акция не применяется.</t>
  </si>
  <si>
    <t>Салат Крабовый с кукурузой</t>
  </si>
  <si>
    <t>4870002000034</t>
  </si>
  <si>
    <t>Срок годности</t>
  </si>
  <si>
    <t>EXPIRES_BEFORE_PROMO</t>
  </si>
  <si>
    <t>Срок годности заканчивается в 19:30 — к началу скидки продавать товар уже нельзя.</t>
  </si>
  <si>
    <t>Не выставлять на акцию</t>
  </si>
  <si>
    <t>Сельдь под шубой</t>
  </si>
  <si>
    <t>4870002000041</t>
  </si>
  <si>
    <t>EXPIRES_DURING_PROMO</t>
  </si>
  <si>
    <t>Срок годности заканчивается во время скидки, в 21:30. Чтобы исключить продажу после срока, позиция заблокирована на весь вечер.</t>
  </si>
  <si>
    <t>Не клеить стикер; снять товар до истечения срока</t>
  </si>
  <si>
    <t>Маржа</t>
  </si>
  <si>
    <t>MARGIN_ALERT</t>
  </si>
  <si>
    <t>Передать итоговую цену на кассу к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</si>
</sst>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193B2B"/>
      <sz val="18"/>
      <name val="Aptos Display"/>
    </font>
    <font>
      <color rgb="FF718077"/>
      <sz val="10"/>
      <name val="Aptos"/>
    </font>
    <font>
      <b/>
      <color rgb="FFFFFFFF"/>
      <sz val="10"/>
      <name val="Aptos"/>
    </font>
    <font>
      <b/>
      <color rgb="FF34443A"/>
      <sz val="10"/>
      <name val="Aptos"/>
    </font>
    <font>
      <b/>
      <color rgb="FF176B43"/>
      <sz val="11"/>
      <name val="Aptos"/>
    </font>
    <font>
      <color rgb="FF34443A"/>
      <sz val="10"/>
      <name val="Aptos"/>
    </font>
    <font>
      <b/>
      <color rgb="FF176B43"/>
      <sz val="9"/>
      <name val="Aptos"/>
    </font>
  </fonts>
  <fills count="4">
    <fill>
      <patternFill patternType="none"/>
    </fill>
    <fill>
      <patternFill patternType="gray125"/>
    </fill>
    <fill>
      <patternFill patternType="solid">
        <fgColor rgb="FF193B2B"/>
      </patternFill>
    </fill>
    <fill>
      <patternFill patternType="solid">
        <fgColor rgb="FFFAFB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93B2B"/>
      </bottom>
      <diagonal/>
    </border>
    <border>
      <left/>
      <right/>
      <top/>
      <bottom style="hair">
        <color rgb="FFE8ED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5" fillId="0" borderId="2" xfId="0" applyFont="1" applyBorder="1"/>
    <xf numFmtId="0" fontId="2" fillId="0" borderId="2" xfId="0" applyFont="1" applyBorder="1"/>
    <xf numFmtId="0" fontId="0" fillId="0" borderId="2" xfId="0" applyBorder="1"/>
    <xf numFmtId="4" fontId="5" fillId="0" borderId="2" xfId="0" applyNumberFormat="1" applyFont="1" applyBorder="1"/>
    <xf numFmtId="0" fontId="6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" fontId="6" fillId="0" borderId="2" xfId="0" applyNumberFormat="1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49" fontId="6" fillId="3" borderId="2" xfId="0" applyNumberFormat="1" applyFont="1" applyFill="1" applyBorder="1" applyAlignment="1">
      <alignment vertical="center" wrapText="1"/>
    </xf>
    <xf numFmtId="4" fontId="6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vertical="center" wrapText="1"/>
    </xf>
    <xf numFmtId="164" fontId="6" fillId="3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" customWidth="1"/>
    <col min="4" max="4" width="38" customWidth="1"/>
    <col min="5" max="5" width="48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4</v>
      </c>
    </row>
    <row r="4" ht="25" customHeight="1" spans="1:5" x14ac:dyDescent="0.25">
      <c r="A4" s="4" t="s">
        <v>6</v>
      </c>
      <c r="B4" s="5">
        <f>COUNTA('План 19-40'!A2:A16)</f>
        <v>15</v>
      </c>
      <c r="C4" t="s">
        <v>4</v>
      </c>
      <c r="D4" s="6" t="s">
        <v>7</v>
      </c>
      <c r="E4" s="7" t="s">
        <v>8</v>
      </c>
    </row>
    <row r="5" ht="25" customHeight="1" spans="1:5" x14ac:dyDescent="0.25">
      <c r="A5" s="4" t="s">
        <v>9</v>
      </c>
      <c r="B5" s="5">
        <v>20</v>
      </c>
      <c r="C5" t="s">
        <v>4</v>
      </c>
      <c r="D5" s="6" t="s">
        <v>10</v>
      </c>
      <c r="E5" s="7" t="s">
        <v>11</v>
      </c>
    </row>
    <row r="6" ht="25" customHeight="1" spans="1:5" x14ac:dyDescent="0.25">
      <c r="A6" s="4" t="s">
        <v>12</v>
      </c>
      <c r="B6" s="8">
        <f>SUMPRODUCT('План 19-40'!D2:D16,'План 19-40'!F2:F16)</f>
        <v>182945</v>
      </c>
      <c r="C6" t="s">
        <v>4</v>
      </c>
      <c r="D6" s="6" t="s">
        <v>13</v>
      </c>
      <c r="E6" s="7" t="s">
        <v>14</v>
      </c>
    </row>
    <row r="7" ht="25" customHeight="1" spans="1:5" x14ac:dyDescent="0.25">
      <c r="A7" s="4" t="s">
        <v>15</v>
      </c>
      <c r="B7" s="8">
        <f>SUMPRODUCT('План 19-40'!E2:E16,'План 19-40'!F2:F16)</f>
        <v>135105.5</v>
      </c>
      <c r="C7" t="s">
        <v>4</v>
      </c>
      <c r="D7" s="6" t="s">
        <v>16</v>
      </c>
      <c r="E7" s="7" t="s">
        <v>17</v>
      </c>
    </row>
    <row r="8" ht="25" customHeight="1" spans="1:5" x14ac:dyDescent="0.25">
      <c r="A8" s="4" t="s">
        <v>18</v>
      </c>
      <c r="B8" s="5">
        <f>COUNTA('Исключения'!A2:A8)</f>
        <v>7</v>
      </c>
      <c r="C8" t="s">
        <v>4</v>
      </c>
      <c r="D8" s="6" t="s">
        <v>19</v>
      </c>
      <c r="E8" s="7" t="s">
        <v>20</v>
      </c>
    </row>
    <row r="9" ht="25" customHeight="1" spans="1:5" x14ac:dyDescent="0.25">
      <c r="A9" s="4" t="s">
        <v>21</v>
      </c>
      <c r="B9" s="5">
        <f>COUNTIFS('План 19-40'!H2:H16,"*BARCODE_REVIEW*")</f>
        <v>0</v>
      </c>
      <c r="C9" t="s">
        <v>4</v>
      </c>
      <c r="D9" s="6" t="s">
        <v>22</v>
      </c>
      <c r="E9" s="7" t="s">
        <v>23</v>
      </c>
    </row>
    <row r="10" ht="25" customHeight="1" spans="1:5" x14ac:dyDescent="0.25">
      <c r="A10" s="4" t="s">
        <v>24</v>
      </c>
      <c r="B10" s="5">
        <f>COUNTIFS('Цена скорректирована'!O2:O3,"Утверждено")</f>
        <v>0</v>
      </c>
      <c r="C10" t="s">
        <v>4</v>
      </c>
      <c r="D10" s="6" t="s">
        <v>25</v>
      </c>
      <c r="E10" s="7" t="s">
        <v>26</v>
      </c>
    </row>
    <row r="11" ht="25" customHeight="1" spans="1:5" x14ac:dyDescent="0.25">
      <c r="A11" s="4" t="s">
        <v>27</v>
      </c>
      <c r="B11" s="5">
        <v>2</v>
      </c>
      <c r="C11" t="s">
        <v>4</v>
      </c>
      <c r="D11" s="6" t="s">
        <v>28</v>
      </c>
      <c r="E11" s="7" t="s">
        <v>29</v>
      </c>
    </row>
    <row r="12" ht="25" customHeight="1" spans="1:5" x14ac:dyDescent="0.25">
      <c r="A12" s="4" t="s">
        <v>30</v>
      </c>
      <c r="B12" s="5" t="s">
        <v>31</v>
      </c>
      <c r="C12" t="s">
        <v>4</v>
      </c>
      <c r="D12" s="6" t="s">
        <v>32</v>
      </c>
      <c r="E12" s="7" t="s">
        <v>33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7" customWidth="1"/>
    <col min="6" max="7" width="12" customWidth="1"/>
    <col min="8" max="8" width="48" customWidth="1"/>
  </cols>
  <sheetData>
    <row r="1" ht="26" customHeight="1" spans="1:8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ht="23" customHeight="1" spans="1:8" x14ac:dyDescent="0.25">
      <c r="A2" s="9" t="s">
        <v>42</v>
      </c>
      <c r="B2" s="10" t="s">
        <v>43</v>
      </c>
      <c r="C2" s="9" t="s">
        <v>44</v>
      </c>
      <c r="D2" s="11">
        <v>2200</v>
      </c>
      <c r="E2" s="11">
        <f>ROUNDDOWN((D2*0.7+1E-8)/5,0)*5</f>
        <v>1540</v>
      </c>
      <c r="F2" s="11">
        <v>4.2</v>
      </c>
      <c r="G2" s="9" t="s">
        <v>45</v>
      </c>
      <c r="H2" s="9" t="s">
        <v>46</v>
      </c>
    </row>
    <row r="3" ht="23" customHeight="1" spans="1:8" x14ac:dyDescent="0.25">
      <c r="A3" s="12" t="s">
        <v>47</v>
      </c>
      <c r="B3" s="13" t="s">
        <v>48</v>
      </c>
      <c r="C3" s="12" t="s">
        <v>44</v>
      </c>
      <c r="D3" s="14">
        <v>3200</v>
      </c>
      <c r="E3" s="14">
        <f>ROUNDDOWN((D3*0.7+1E-8)/5,0)*5</f>
        <v>2240</v>
      </c>
      <c r="F3" s="14">
        <v>3.1</v>
      </c>
      <c r="G3" s="12" t="s">
        <v>45</v>
      </c>
      <c r="H3" s="12" t="s">
        <v>46</v>
      </c>
    </row>
    <row r="4" ht="23" customHeight="1" spans="1:8" x14ac:dyDescent="0.25">
      <c r="A4" s="9" t="s">
        <v>49</v>
      </c>
      <c r="B4" s="10" t="s">
        <v>50</v>
      </c>
      <c r="C4" s="9" t="s">
        <v>51</v>
      </c>
      <c r="D4" s="11">
        <v>3400</v>
      </c>
      <c r="E4" s="11">
        <f>ROUNDDOWN((D4*0.7+1E-8)/5,0)*5</f>
        <v>2380</v>
      </c>
      <c r="F4" s="11">
        <v>5.5</v>
      </c>
      <c r="G4" s="9" t="s">
        <v>45</v>
      </c>
      <c r="H4" s="9" t="s">
        <v>46</v>
      </c>
    </row>
    <row r="5" ht="23" customHeight="1" spans="1:8" x14ac:dyDescent="0.25">
      <c r="A5" s="12" t="s">
        <v>52</v>
      </c>
      <c r="B5" s="13" t="s">
        <v>53</v>
      </c>
      <c r="C5" s="12" t="s">
        <v>51</v>
      </c>
      <c r="D5" s="14">
        <v>1200</v>
      </c>
      <c r="E5" s="14">
        <f>ROUNDDOWN((D5*0.7+1E-8)/5,0)*5</f>
        <v>840</v>
      </c>
      <c r="F5" s="14">
        <v>8.2</v>
      </c>
      <c r="G5" s="12" t="s">
        <v>45</v>
      </c>
      <c r="H5" s="12" t="s">
        <v>46</v>
      </c>
    </row>
    <row r="6" ht="23" customHeight="1" spans="1:8" x14ac:dyDescent="0.25">
      <c r="A6" s="9" t="s">
        <v>54</v>
      </c>
      <c r="B6" s="10" t="s">
        <v>55</v>
      </c>
      <c r="C6" s="9" t="s">
        <v>51</v>
      </c>
      <c r="D6" s="11">
        <v>1400</v>
      </c>
      <c r="E6" s="11">
        <f>ROUNDDOWN((D6*0.7+1E-8)/5,0)*5</f>
        <v>980</v>
      </c>
      <c r="F6" s="11">
        <v>3.4</v>
      </c>
      <c r="G6" s="9" t="s">
        <v>45</v>
      </c>
      <c r="H6" s="9" t="s">
        <v>46</v>
      </c>
    </row>
    <row r="7" ht="23" customHeight="1" spans="1:8" x14ac:dyDescent="0.25">
      <c r="A7" s="12" t="s">
        <v>56</v>
      </c>
      <c r="B7" s="13" t="s">
        <v>57</v>
      </c>
      <c r="C7" s="12" t="s">
        <v>58</v>
      </c>
      <c r="D7" s="14">
        <v>2800</v>
      </c>
      <c r="E7" s="14">
        <f>ROUNDDOWN((D7*0.7+1E-8)/5,0)*5</f>
        <v>1960</v>
      </c>
      <c r="F7" s="14">
        <v>14.2</v>
      </c>
      <c r="G7" s="12" t="s">
        <v>45</v>
      </c>
      <c r="H7" s="12" t="s">
        <v>46</v>
      </c>
    </row>
    <row r="8" ht="23" customHeight="1" spans="1:8" x14ac:dyDescent="0.25">
      <c r="A8" s="9" t="s">
        <v>59</v>
      </c>
      <c r="B8" s="10" t="s">
        <v>60</v>
      </c>
      <c r="C8" s="9" t="s">
        <v>58</v>
      </c>
      <c r="D8" s="11">
        <v>650</v>
      </c>
      <c r="E8" s="11">
        <f>ROUNDDOWN((D8*0.7+1E-8)/5,0)*5</f>
        <v>455</v>
      </c>
      <c r="F8" s="11">
        <v>22</v>
      </c>
      <c r="G8" s="9" t="s">
        <v>61</v>
      </c>
      <c r="H8" s="9" t="s">
        <v>46</v>
      </c>
    </row>
    <row r="9" ht="38" customHeight="1" spans="1:8" x14ac:dyDescent="0.25">
      <c r="A9" s="12" t="s">
        <v>62</v>
      </c>
      <c r="B9" s="13" t="s">
        <v>63</v>
      </c>
      <c r="C9" s="12" t="s">
        <v>58</v>
      </c>
      <c r="D9" s="14">
        <v>3500</v>
      </c>
      <c r="E9" s="14">
        <f>'Цена скорректирована'!K2</f>
        <v>2940</v>
      </c>
      <c r="F9" s="14">
        <v>6</v>
      </c>
      <c r="G9" s="12" t="s">
        <v>64</v>
      </c>
      <c r="H9" s="15" t="s">
        <v>65</v>
      </c>
    </row>
    <row r="10" ht="38" customHeight="1" spans="1:8" x14ac:dyDescent="0.25">
      <c r="A10" s="9" t="s">
        <v>66</v>
      </c>
      <c r="B10" s="10" t="s">
        <v>67</v>
      </c>
      <c r="C10" s="9" t="s">
        <v>58</v>
      </c>
      <c r="D10" s="11">
        <v>4800</v>
      </c>
      <c r="E10" s="11">
        <f>'Цена скорректирована'!K3</f>
        <v>4410</v>
      </c>
      <c r="F10" s="11">
        <v>4</v>
      </c>
      <c r="G10" s="9" t="s">
        <v>61</v>
      </c>
      <c r="H10" s="16" t="s">
        <v>68</v>
      </c>
    </row>
    <row r="11" ht="23" customHeight="1" spans="1:8" x14ac:dyDescent="0.25">
      <c r="A11" s="12" t="s">
        <v>69</v>
      </c>
      <c r="B11" s="13" t="s">
        <v>70</v>
      </c>
      <c r="C11" s="12" t="s">
        <v>58</v>
      </c>
      <c r="D11" s="14">
        <v>1100</v>
      </c>
      <c r="E11" s="14">
        <f>ROUNDDOWN((D11*0.7+1E-8)/5,0)*5</f>
        <v>770</v>
      </c>
      <c r="F11" s="14">
        <v>7</v>
      </c>
      <c r="G11" s="12" t="s">
        <v>45</v>
      </c>
      <c r="H11" s="12" t="s">
        <v>46</v>
      </c>
    </row>
    <row r="12" ht="23" customHeight="1" spans="1:8" x14ac:dyDescent="0.25">
      <c r="A12" s="9" t="s">
        <v>71</v>
      </c>
      <c r="B12" s="10" t="s">
        <v>72</v>
      </c>
      <c r="C12" s="9" t="s">
        <v>58</v>
      </c>
      <c r="D12" s="11">
        <v>1150</v>
      </c>
      <c r="E12" s="11">
        <f>ROUNDDOWN((D12*0.7+1E-8)/5,0)*5</f>
        <v>805</v>
      </c>
      <c r="F12" s="11">
        <v>4.3</v>
      </c>
      <c r="G12" s="9" t="s">
        <v>45</v>
      </c>
      <c r="H12" s="9" t="s">
        <v>46</v>
      </c>
    </row>
    <row r="13" ht="23" customHeight="1" spans="1:8" x14ac:dyDescent="0.25">
      <c r="A13" s="12" t="s">
        <v>73</v>
      </c>
      <c r="B13" s="13" t="s">
        <v>74</v>
      </c>
      <c r="C13" s="12" t="s">
        <v>75</v>
      </c>
      <c r="D13" s="14">
        <v>380</v>
      </c>
      <c r="E13" s="14">
        <f>ROUNDDOWN((D13*0.7+1E-8)/5,0)*5</f>
        <v>265</v>
      </c>
      <c r="F13" s="14">
        <v>34</v>
      </c>
      <c r="G13" s="12" t="s">
        <v>61</v>
      </c>
      <c r="H13" s="12" t="s">
        <v>46</v>
      </c>
    </row>
    <row r="14" ht="23" customHeight="1" spans="1:8" x14ac:dyDescent="0.25">
      <c r="A14" s="9" t="s">
        <v>76</v>
      </c>
      <c r="B14" s="10" t="s">
        <v>77</v>
      </c>
      <c r="C14" s="9" t="s">
        <v>75</v>
      </c>
      <c r="D14" s="11">
        <v>350</v>
      </c>
      <c r="E14" s="11">
        <f>ROUNDDOWN((D14*0.7+1E-8)/5,0)*5</f>
        <v>245</v>
      </c>
      <c r="F14" s="11">
        <v>14</v>
      </c>
      <c r="G14" s="9" t="s">
        <v>61</v>
      </c>
      <c r="H14" s="9" t="s">
        <v>46</v>
      </c>
    </row>
    <row r="15" ht="23" customHeight="1" spans="1:8" x14ac:dyDescent="0.25">
      <c r="A15" s="12" t="s">
        <v>78</v>
      </c>
      <c r="B15" s="13" t="s">
        <v>79</v>
      </c>
      <c r="C15" s="12" t="s">
        <v>75</v>
      </c>
      <c r="D15" s="14">
        <v>160</v>
      </c>
      <c r="E15" s="14">
        <f>ROUNDDOWN((D15*0.7+1E-8)/5,0)*5</f>
        <v>110</v>
      </c>
      <c r="F15" s="14">
        <v>15</v>
      </c>
      <c r="G15" s="12" t="s">
        <v>61</v>
      </c>
      <c r="H15" s="12" t="s">
        <v>46</v>
      </c>
    </row>
    <row r="16" ht="23" customHeight="1" spans="1:8" x14ac:dyDescent="0.25">
      <c r="A16" s="9" t="s">
        <v>80</v>
      </c>
      <c r="B16" s="10" t="s">
        <v>81</v>
      </c>
      <c r="C16" s="9" t="s">
        <v>75</v>
      </c>
      <c r="D16" s="11">
        <v>420</v>
      </c>
      <c r="E16" s="11">
        <f>ROUNDDOWN((D16*0.7+1E-8)/5,0)*5</f>
        <v>290</v>
      </c>
      <c r="F16" s="11">
        <v>8</v>
      </c>
      <c r="G16" s="9" t="s">
        <v>61</v>
      </c>
      <c r="H16" s="9" t="s">
        <v>46</v>
      </c>
    </row>
  </sheetData>
  <autoFilter ref="A1:H16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43" customWidth="1"/>
    <col min="2" max="2" width="13" customWidth="1"/>
    <col min="3" max="3" width="19" customWidth="1"/>
    <col min="4" max="4" width="32" customWidth="1"/>
    <col min="5" max="6" width="12" customWidth="1"/>
    <col min="7" max="8" width="18" customWidth="1"/>
    <col min="9" max="9" width="19" customWidth="1"/>
    <col min="10" max="11" width="18" customWidth="1"/>
    <col min="12" max="12" width="19" customWidth="1"/>
    <col min="13" max="13" width="18" customWidth="1"/>
    <col min="14" max="14" width="60" customWidth="1"/>
    <col min="15" max="15" width="17" customWidth="1"/>
    <col min="16" max="16" width="23" customWidth="1"/>
    <col min="17" max="17" width="25" customWidth="1"/>
  </cols>
  <sheetData>
    <row r="1" ht="42" customHeight="1" spans="1:17" x14ac:dyDescent="0.25">
      <c r="A1" s="3" t="s">
        <v>34</v>
      </c>
      <c r="B1" s="3" t="s">
        <v>82</v>
      </c>
      <c r="C1" s="3" t="s">
        <v>35</v>
      </c>
      <c r="D1" s="3" t="s">
        <v>36</v>
      </c>
      <c r="E1" s="3" t="s">
        <v>39</v>
      </c>
      <c r="F1" s="3" t="s">
        <v>40</v>
      </c>
      <c r="G1" s="3" t="s">
        <v>37</v>
      </c>
      <c r="H1" s="3" t="s">
        <v>83</v>
      </c>
      <c r="I1" s="3" t="s">
        <v>84</v>
      </c>
      <c r="J1" s="3" t="s">
        <v>85</v>
      </c>
      <c r="K1" s="3" t="s">
        <v>38</v>
      </c>
      <c r="L1" s="3" t="s">
        <v>86</v>
      </c>
      <c r="M1" s="3" t="s">
        <v>87</v>
      </c>
      <c r="N1" s="3" t="s">
        <v>88</v>
      </c>
      <c r="O1" s="3" t="s">
        <v>89</v>
      </c>
      <c r="P1" s="3" t="s">
        <v>90</v>
      </c>
      <c r="Q1" s="3" t="s">
        <v>91</v>
      </c>
    </row>
    <row r="2" ht="36" customHeight="1" spans="1:17" x14ac:dyDescent="0.25">
      <c r="A2" s="9" t="s">
        <v>62</v>
      </c>
      <c r="B2" s="10" t="s">
        <v>92</v>
      </c>
      <c r="C2" s="10" t="s">
        <v>63</v>
      </c>
      <c r="D2" s="9" t="s">
        <v>58</v>
      </c>
      <c r="E2" s="11">
        <v>6</v>
      </c>
      <c r="F2" s="9" t="s">
        <v>64</v>
      </c>
      <c r="G2" s="11">
        <v>3500</v>
      </c>
      <c r="H2" s="11">
        <f>ROUNDDOWN((G2*0.7+1E-8)/5,0)*5</f>
        <v>2450</v>
      </c>
      <c r="I2" s="11">
        <v>2800</v>
      </c>
      <c r="J2" s="11">
        <f>I2*1.05</f>
        <v>2940</v>
      </c>
      <c r="K2" s="11">
        <v>2940</v>
      </c>
      <c r="L2" s="17">
        <f>1-K2/G2</f>
        <v>0.16000000000000003</v>
      </c>
      <c r="M2" s="9" t="s">
        <v>93</v>
      </c>
      <c r="N2" s="9" t="s">
        <v>94</v>
      </c>
      <c r="O2" s="9" t="s">
        <v>95</v>
      </c>
      <c r="P2" s="9" t="s">
        <v>4</v>
      </c>
      <c r="Q2" s="9" t="s">
        <v>4</v>
      </c>
    </row>
    <row r="3" ht="36" customHeight="1" spans="1:17" x14ac:dyDescent="0.25">
      <c r="A3" s="12" t="s">
        <v>66</v>
      </c>
      <c r="B3" s="13" t="s">
        <v>96</v>
      </c>
      <c r="C3" s="13" t="s">
        <v>67</v>
      </c>
      <c r="D3" s="12" t="s">
        <v>58</v>
      </c>
      <c r="E3" s="14">
        <v>4</v>
      </c>
      <c r="F3" s="12" t="s">
        <v>61</v>
      </c>
      <c r="G3" s="14">
        <v>4800</v>
      </c>
      <c r="H3" s="14">
        <f>ROUNDDOWN((G3*0.7+1E-8)/5,0)*5</f>
        <v>3360</v>
      </c>
      <c r="I3" s="14">
        <v>4200</v>
      </c>
      <c r="J3" s="14">
        <f>I3*1.05</f>
        <v>4410</v>
      </c>
      <c r="K3" s="14">
        <v>4410</v>
      </c>
      <c r="L3" s="18">
        <f>1-K3/G3</f>
        <v>0.08125000000000004</v>
      </c>
      <c r="M3" s="12" t="s">
        <v>93</v>
      </c>
      <c r="N3" s="12" t="s">
        <v>97</v>
      </c>
      <c r="O3" s="12" t="s">
        <v>95</v>
      </c>
      <c r="P3" s="12" t="s">
        <v>4</v>
      </c>
      <c r="Q3" s="12" t="s">
        <v>4</v>
      </c>
    </row>
  </sheetData>
  <autoFilter ref="A1:Q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98</v>
      </c>
      <c r="G1" s="3" t="s">
        <v>99</v>
      </c>
      <c r="H1" s="3" t="s">
        <v>100</v>
      </c>
      <c r="I1" s="3" t="s">
        <v>101</v>
      </c>
    </row>
    <row r="2" ht="34" customHeight="1" spans="1:9" x14ac:dyDescent="0.25">
      <c r="A2" s="9" t="s">
        <v>102</v>
      </c>
      <c r="B2" s="10" t="s">
        <v>103</v>
      </c>
      <c r="C2" s="9" t="s">
        <v>44</v>
      </c>
      <c r="D2" s="11">
        <v>0.35</v>
      </c>
      <c r="E2" s="9" t="s">
        <v>45</v>
      </c>
      <c r="F2" s="9" t="s">
        <v>104</v>
      </c>
      <c r="G2" s="9" t="s">
        <v>105</v>
      </c>
      <c r="H2" s="9" t="s">
        <v>106</v>
      </c>
      <c r="I2" s="9" t="s">
        <v>107</v>
      </c>
    </row>
    <row r="3" ht="34" customHeight="1" spans="1:9" x14ac:dyDescent="0.25">
      <c r="A3" s="12" t="s">
        <v>108</v>
      </c>
      <c r="B3" s="13" t="s">
        <v>109</v>
      </c>
      <c r="C3" s="12" t="s">
        <v>51</v>
      </c>
      <c r="D3" s="14">
        <v>0.5</v>
      </c>
      <c r="E3" s="12" t="s">
        <v>45</v>
      </c>
      <c r="F3" s="12" t="s">
        <v>104</v>
      </c>
      <c r="G3" s="12" t="s">
        <v>105</v>
      </c>
      <c r="H3" s="12" t="s">
        <v>110</v>
      </c>
      <c r="I3" s="12" t="s">
        <v>107</v>
      </c>
    </row>
    <row r="4" ht="34" customHeight="1" spans="1:9" x14ac:dyDescent="0.25">
      <c r="A4" s="9" t="s">
        <v>111</v>
      </c>
      <c r="B4" s="10" t="s">
        <v>112</v>
      </c>
      <c r="C4" s="9" t="s">
        <v>58</v>
      </c>
      <c r="D4" s="11">
        <v>1</v>
      </c>
      <c r="E4" s="9" t="s">
        <v>61</v>
      </c>
      <c r="F4" s="9" t="s">
        <v>104</v>
      </c>
      <c r="G4" s="9" t="s">
        <v>105</v>
      </c>
      <c r="H4" s="9" t="s">
        <v>113</v>
      </c>
      <c r="I4" s="9" t="s">
        <v>107</v>
      </c>
    </row>
  </sheetData>
  <autoFilter ref="A1:I4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98</v>
      </c>
      <c r="G1" s="3" t="s">
        <v>99</v>
      </c>
      <c r="H1" s="3" t="s">
        <v>100</v>
      </c>
      <c r="I1" s="3" t="s">
        <v>101</v>
      </c>
    </row>
    <row r="2" ht="34" customHeight="1" spans="1:9" x14ac:dyDescent="0.25">
      <c r="A2" s="9" t="s">
        <v>114</v>
      </c>
      <c r="B2" s="10" t="s">
        <v>115</v>
      </c>
      <c r="C2" s="9" t="s">
        <v>44</v>
      </c>
      <c r="D2" s="11">
        <v>2.4</v>
      </c>
      <c r="E2" s="9" t="s">
        <v>45</v>
      </c>
      <c r="F2" s="9" t="s">
        <v>116</v>
      </c>
      <c r="G2" s="9" t="s">
        <v>117</v>
      </c>
      <c r="H2" s="9" t="s">
        <v>118</v>
      </c>
      <c r="I2" s="9" t="s">
        <v>119</v>
      </c>
    </row>
    <row r="3" ht="34" customHeight="1" spans="1:9" x14ac:dyDescent="0.25">
      <c r="A3" s="12" t="s">
        <v>120</v>
      </c>
      <c r="B3" s="13" t="s">
        <v>121</v>
      </c>
      <c r="C3" s="12" t="s">
        <v>44</v>
      </c>
      <c r="D3" s="14">
        <v>1.8</v>
      </c>
      <c r="E3" s="12" t="s">
        <v>45</v>
      </c>
      <c r="F3" s="12" t="s">
        <v>116</v>
      </c>
      <c r="G3" s="12" t="s">
        <v>122</v>
      </c>
      <c r="H3" s="12" t="s">
        <v>123</v>
      </c>
      <c r="I3" s="12" t="s">
        <v>124</v>
      </c>
    </row>
    <row r="4" ht="34" customHeight="1" spans="1:9" x14ac:dyDescent="0.25">
      <c r="A4" s="9" t="s">
        <v>102</v>
      </c>
      <c r="B4" s="10" t="s">
        <v>103</v>
      </c>
      <c r="C4" s="9" t="s">
        <v>44</v>
      </c>
      <c r="D4" s="11">
        <v>0.35</v>
      </c>
      <c r="E4" s="9" t="s">
        <v>45</v>
      </c>
      <c r="F4" s="9" t="s">
        <v>104</v>
      </c>
      <c r="G4" s="9" t="s">
        <v>105</v>
      </c>
      <c r="H4" s="9" t="s">
        <v>106</v>
      </c>
      <c r="I4" s="9" t="s">
        <v>107</v>
      </c>
    </row>
    <row r="5" ht="34" customHeight="1" spans="1:9" x14ac:dyDescent="0.25">
      <c r="A5" s="12" t="s">
        <v>108</v>
      </c>
      <c r="B5" s="13" t="s">
        <v>109</v>
      </c>
      <c r="C5" s="12" t="s">
        <v>51</v>
      </c>
      <c r="D5" s="14">
        <v>0.5</v>
      </c>
      <c r="E5" s="12" t="s">
        <v>45</v>
      </c>
      <c r="F5" s="12" t="s">
        <v>104</v>
      </c>
      <c r="G5" s="12" t="s">
        <v>105</v>
      </c>
      <c r="H5" s="12" t="s">
        <v>110</v>
      </c>
      <c r="I5" s="12" t="s">
        <v>107</v>
      </c>
    </row>
    <row r="6" ht="34" customHeight="1" spans="1:9" x14ac:dyDescent="0.25">
      <c r="A6" s="9" t="s">
        <v>62</v>
      </c>
      <c r="B6" s="10" t="s">
        <v>63</v>
      </c>
      <c r="C6" s="9" t="s">
        <v>58</v>
      </c>
      <c r="D6" s="11">
        <v>6</v>
      </c>
      <c r="E6" s="9" t="s">
        <v>64</v>
      </c>
      <c r="F6" s="9" t="s">
        <v>125</v>
      </c>
      <c r="G6" s="9" t="s">
        <v>126</v>
      </c>
      <c r="H6" s="9" t="s">
        <v>94</v>
      </c>
      <c r="I6" s="9" t="s">
        <v>127</v>
      </c>
    </row>
    <row r="7" ht="34" customHeight="1" spans="1:9" x14ac:dyDescent="0.25">
      <c r="A7" s="12" t="s">
        <v>66</v>
      </c>
      <c r="B7" s="13" t="s">
        <v>67</v>
      </c>
      <c r="C7" s="12" t="s">
        <v>58</v>
      </c>
      <c r="D7" s="14">
        <v>4</v>
      </c>
      <c r="E7" s="12" t="s">
        <v>61</v>
      </c>
      <c r="F7" s="12" t="s">
        <v>125</v>
      </c>
      <c r="G7" s="12" t="s">
        <v>126</v>
      </c>
      <c r="H7" s="12" t="s">
        <v>97</v>
      </c>
      <c r="I7" s="12" t="s">
        <v>127</v>
      </c>
    </row>
    <row r="8" ht="34" customHeight="1" spans="1:9" x14ac:dyDescent="0.25">
      <c r="A8" s="9" t="s">
        <v>111</v>
      </c>
      <c r="B8" s="10" t="s">
        <v>112</v>
      </c>
      <c r="C8" s="9" t="s">
        <v>58</v>
      </c>
      <c r="D8" s="11">
        <v>1</v>
      </c>
      <c r="E8" s="9" t="s">
        <v>61</v>
      </c>
      <c r="F8" s="9" t="s">
        <v>104</v>
      </c>
      <c r="G8" s="9" t="s">
        <v>105</v>
      </c>
      <c r="H8" s="9" t="s">
        <v>113</v>
      </c>
      <c r="I8" s="9" t="s">
        <v>107</v>
      </c>
    </row>
  </sheetData>
  <autoFilter ref="A1:I8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98</v>
      </c>
      <c r="G1" s="3" t="s">
        <v>99</v>
      </c>
      <c r="H1" s="3" t="s">
        <v>100</v>
      </c>
      <c r="I1" s="3" t="s">
        <v>101</v>
      </c>
    </row>
  </sheetData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18" customWidth="1"/>
    <col min="3" max="3" width="32" customWidth="1"/>
    <col min="4" max="5" width="12" customWidth="1"/>
    <col min="6" max="6" width="17" customWidth="1"/>
    <col min="7" max="7" width="28" customWidth="1"/>
    <col min="8" max="8" width="65" customWidth="1"/>
    <col min="9" max="9" width="29" customWidth="1"/>
  </cols>
  <sheetData>
    <row r="1" ht="26" customHeight="1" spans="1:9" x14ac:dyDescent="0.25">
      <c r="A1" s="3" t="s">
        <v>34</v>
      </c>
      <c r="B1" s="3" t="s">
        <v>35</v>
      </c>
      <c r="C1" s="3" t="s">
        <v>36</v>
      </c>
      <c r="D1" s="3" t="s">
        <v>39</v>
      </c>
      <c r="E1" s="3" t="s">
        <v>40</v>
      </c>
      <c r="F1" s="3" t="s">
        <v>98</v>
      </c>
      <c r="G1" s="3" t="s">
        <v>99</v>
      </c>
      <c r="H1" s="3" t="s">
        <v>100</v>
      </c>
      <c r="I1" s="3" t="s">
        <v>101</v>
      </c>
    </row>
    <row r="2" ht="34" customHeight="1" spans="1:9" x14ac:dyDescent="0.25">
      <c r="A2" s="9" t="s">
        <v>114</v>
      </c>
      <c r="B2" s="10" t="s">
        <v>115</v>
      </c>
      <c r="C2" s="9" t="s">
        <v>44</v>
      </c>
      <c r="D2" s="11">
        <v>2.4</v>
      </c>
      <c r="E2" s="9" t="s">
        <v>45</v>
      </c>
      <c r="F2" s="9" t="s">
        <v>116</v>
      </c>
      <c r="G2" s="9" t="s">
        <v>117</v>
      </c>
      <c r="H2" s="9" t="s">
        <v>118</v>
      </c>
      <c r="I2" s="9" t="s">
        <v>119</v>
      </c>
    </row>
    <row r="3" ht="34" customHeight="1" spans="1:9" x14ac:dyDescent="0.25">
      <c r="A3" s="12" t="s">
        <v>120</v>
      </c>
      <c r="B3" s="13" t="s">
        <v>121</v>
      </c>
      <c r="C3" s="12" t="s">
        <v>44</v>
      </c>
      <c r="D3" s="14">
        <v>1.8</v>
      </c>
      <c r="E3" s="12" t="s">
        <v>45</v>
      </c>
      <c r="F3" s="12" t="s">
        <v>116</v>
      </c>
      <c r="G3" s="12" t="s">
        <v>122</v>
      </c>
      <c r="H3" s="12" t="s">
        <v>123</v>
      </c>
      <c r="I3" s="12" t="s">
        <v>124</v>
      </c>
    </row>
  </sheetData>
  <autoFilter ref="A1:I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Сводка</vt:lpstr>
      <vt:lpstr>План 19-40</vt:lpstr>
      <vt:lpstr>Цена скорректирована</vt:lpstr>
      <vt:lpstr>Бракераж</vt:lpstr>
      <vt:lpstr>Исключения</vt:lpstr>
      <vt:lpstr>Проверка целевых</vt:lpstr>
      <vt:lpstr>Срок годности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Вечерняя уценка · локальный инструмент</dc:creator>
  <dc:title/>
  <dc:subject/>
  <dc:description/>
  <cp:keywords/>
  <cp:category/>
  <cp:lastModifiedBy>Unknown</cp:lastModifiedBy>
  <dcterms:created xsi:type="dcterms:W3CDTF">2026-10-06T15:31:45Z</dcterms:created>
  <dcterms:modified xsi:type="dcterms:W3CDTF">2026-10-06T15:31:45Z</dcterms:modified>
</cp:coreProperties>
</file>